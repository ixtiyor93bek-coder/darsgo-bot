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Workbook________"/>
  <mc:AlternateContent xmlns:mc="http://schemas.openxmlformats.org/markup-compatibility/2006">
    <mc:Choice Requires="x15">
      <x15ac:absPath xmlns:x15ac="http://schemas.microsoft.com/office/spreadsheetml/2010/11/ac" url="D:\48\BSB vedemost\tahlil\ingliz tili\"/>
    </mc:Choice>
  </mc:AlternateContent>
  <xr:revisionPtr revIDLastSave="0" documentId="13_ncr:1_{7FB02E33-607D-4CE7-AD5E-3724697C8FF2}" xr6:coauthVersionLast="47" xr6:coauthVersionMax="47" xr10:uidLastSave="{00000000-0000-0000-0000-000000000000}"/>
  <bookViews>
    <workbookView xWindow="-120" yWindow="-120" windowWidth="29040" windowHeight="15720" xr2:uid="{24C06861-7C07-44C5-8FCB-1E620985EE17}"/>
  </bookViews>
  <sheets>
    <sheet name="list" sheetId="3" r:id="rId1"/>
    <sheet name="tahlil" sheetId="2" r:id="rId2"/>
  </sheets>
  <definedNames>
    <definedName name="_xlnm.Print_Area" localSheetId="0">list!$B$1:$CI$196</definedName>
    <definedName name="_xlnm.Print_Area" localSheetId="1">tahlil!$A$1:$K$25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9" i="3" l="1"/>
  <c r="Q160" i="3"/>
  <c r="Q159" i="3"/>
  <c r="Q158" i="3"/>
  <c r="Q157" i="3"/>
  <c r="Q156" i="3"/>
  <c r="Q155" i="3"/>
  <c r="Q153" i="3"/>
  <c r="Q151" i="3"/>
  <c r="Q111" i="3"/>
  <c r="Q110" i="3"/>
  <c r="Q109" i="3"/>
  <c r="Q108" i="3"/>
  <c r="Q107" i="3"/>
  <c r="Q106" i="3"/>
  <c r="Q104" i="3"/>
  <c r="Q102" i="3"/>
  <c r="Q62" i="3"/>
  <c r="Q61" i="3"/>
  <c r="Q60" i="3"/>
  <c r="Q59" i="3"/>
  <c r="Q58" i="3"/>
  <c r="Q57" i="3"/>
  <c r="Q55" i="3"/>
  <c r="Q53" i="3"/>
  <c r="Q4" i="3"/>
  <c r="Q13" i="3"/>
  <c r="Q12" i="3"/>
  <c r="Q11" i="3"/>
  <c r="Q10" i="3"/>
  <c r="Q9" i="3"/>
  <c r="Q8" i="3"/>
  <c r="Q6" i="3"/>
  <c r="D9" i="2"/>
  <c r="H9" i="2"/>
  <c r="CE196" i="3" l="1"/>
  <c r="BP196" i="3"/>
  <c r="BA196" i="3"/>
  <c r="AP196" i="3"/>
  <c r="AE196" i="3"/>
  <c r="T196" i="3"/>
  <c r="CE147" i="3"/>
  <c r="BP147" i="3"/>
  <c r="BA147" i="3"/>
  <c r="AP147" i="3"/>
  <c r="AE147" i="3"/>
  <c r="T147" i="3"/>
  <c r="CE98" i="3"/>
  <c r="BP98" i="3"/>
  <c r="BA98" i="3"/>
  <c r="AP98" i="3"/>
  <c r="AE98" i="3"/>
  <c r="T98" i="3"/>
  <c r="CE49" i="3"/>
  <c r="BP49" i="3"/>
  <c r="BA49" i="3"/>
  <c r="AP49" i="3"/>
  <c r="AE49" i="3"/>
  <c r="T49" i="3"/>
  <c r="CH94" i="3"/>
  <c r="CD94" i="3"/>
  <c r="CC94" i="3"/>
  <c r="CA94" i="3"/>
  <c r="BK94" i="3"/>
  <c r="BJ94" i="3"/>
  <c r="BH94" i="3"/>
  <c r="BI94" i="3" s="1"/>
  <c r="AZ94" i="3"/>
  <c r="AY94" i="3"/>
  <c r="AW94" i="3"/>
  <c r="AX94" i="3" s="1"/>
  <c r="AO94" i="3"/>
  <c r="AN94" i="3"/>
  <c r="AL94" i="3"/>
  <c r="AM94" i="3" s="1"/>
  <c r="AD94" i="3"/>
  <c r="AC94" i="3"/>
  <c r="AA94" i="3"/>
  <c r="AB94" i="3" s="1"/>
  <c r="S94" i="3"/>
  <c r="R94" i="3"/>
  <c r="CH93" i="3"/>
  <c r="CD93" i="3"/>
  <c r="CC93" i="3"/>
  <c r="CA93" i="3"/>
  <c r="BK93" i="3"/>
  <c r="BJ93" i="3"/>
  <c r="BH93" i="3"/>
  <c r="BI93" i="3" s="1"/>
  <c r="AZ93" i="3"/>
  <c r="AY93" i="3"/>
  <c r="AW93" i="3"/>
  <c r="AX93" i="3" s="1"/>
  <c r="AO93" i="3"/>
  <c r="AN93" i="3"/>
  <c r="AL93" i="3"/>
  <c r="AM93" i="3" s="1"/>
  <c r="AD93" i="3"/>
  <c r="AC93" i="3"/>
  <c r="AA93" i="3"/>
  <c r="AB93" i="3" s="1"/>
  <c r="S93" i="3"/>
  <c r="R93" i="3"/>
  <c r="CH92" i="3"/>
  <c r="CI92" i="3" s="1"/>
  <c r="CD92" i="3"/>
  <c r="CC92" i="3"/>
  <c r="CA92" i="3"/>
  <c r="CB92" i="3" s="1"/>
  <c r="BK92" i="3"/>
  <c r="BJ92" i="3"/>
  <c r="BH92" i="3"/>
  <c r="BI92" i="3" s="1"/>
  <c r="AZ92" i="3"/>
  <c r="AY92" i="3"/>
  <c r="AW92" i="3"/>
  <c r="AX92" i="3" s="1"/>
  <c r="AO92" i="3"/>
  <c r="AN92" i="3"/>
  <c r="AL92" i="3"/>
  <c r="AM92" i="3" s="1"/>
  <c r="AD92" i="3"/>
  <c r="AC92" i="3"/>
  <c r="AA92" i="3"/>
  <c r="AB92" i="3" s="1"/>
  <c r="S92" i="3"/>
  <c r="R92" i="3"/>
  <c r="CH91" i="3"/>
  <c r="CI91" i="3" s="1"/>
  <c r="CD91" i="3"/>
  <c r="CC91" i="3"/>
  <c r="CA91" i="3"/>
  <c r="CB91" i="3" s="1"/>
  <c r="BK91" i="3"/>
  <c r="BJ91" i="3"/>
  <c r="BH91" i="3"/>
  <c r="BI91" i="3" s="1"/>
  <c r="AZ91" i="3"/>
  <c r="AY91" i="3"/>
  <c r="AW91" i="3"/>
  <c r="AX91" i="3" s="1"/>
  <c r="AO91" i="3"/>
  <c r="AN91" i="3"/>
  <c r="AL91" i="3"/>
  <c r="AM91" i="3" s="1"/>
  <c r="AD91" i="3"/>
  <c r="AC91" i="3"/>
  <c r="AB91" i="3"/>
  <c r="AA91" i="3"/>
  <c r="S91" i="3"/>
  <c r="R91" i="3"/>
  <c r="CH90" i="3"/>
  <c r="CI90" i="3" s="1"/>
  <c r="CD90" i="3"/>
  <c r="CC90" i="3"/>
  <c r="CA90" i="3"/>
  <c r="CB90" i="3" s="1"/>
  <c r="BK90" i="3"/>
  <c r="BJ90" i="3"/>
  <c r="BH90" i="3"/>
  <c r="BI90" i="3" s="1"/>
  <c r="AZ90" i="3"/>
  <c r="AY90" i="3"/>
  <c r="AW90" i="3"/>
  <c r="AX90" i="3" s="1"/>
  <c r="AO90" i="3"/>
  <c r="AN90" i="3"/>
  <c r="AL90" i="3"/>
  <c r="AM90" i="3" s="1"/>
  <c r="AD90" i="3"/>
  <c r="AC90" i="3"/>
  <c r="AA90" i="3"/>
  <c r="AB90" i="3" s="1"/>
  <c r="S90" i="3"/>
  <c r="R90" i="3"/>
  <c r="CH89" i="3"/>
  <c r="CI89" i="3" s="1"/>
  <c r="CD89" i="3"/>
  <c r="CC89" i="3"/>
  <c r="CA89" i="3"/>
  <c r="CB89" i="3" s="1"/>
  <c r="BK89" i="3"/>
  <c r="BJ89" i="3"/>
  <c r="BH89" i="3"/>
  <c r="BI89" i="3" s="1"/>
  <c r="AZ89" i="3"/>
  <c r="AY89" i="3"/>
  <c r="AW89" i="3"/>
  <c r="AX89" i="3" s="1"/>
  <c r="AO89" i="3"/>
  <c r="AN89" i="3"/>
  <c r="AL89" i="3"/>
  <c r="AM89" i="3" s="1"/>
  <c r="AD89" i="3"/>
  <c r="AC89" i="3"/>
  <c r="AA89" i="3"/>
  <c r="AB89" i="3" s="1"/>
  <c r="S89" i="3"/>
  <c r="R89" i="3"/>
  <c r="CH88" i="3"/>
  <c r="CI88" i="3" s="1"/>
  <c r="CD88" i="3"/>
  <c r="CC88" i="3"/>
  <c r="CA88" i="3"/>
  <c r="CB88" i="3" s="1"/>
  <c r="BK88" i="3"/>
  <c r="BJ88" i="3"/>
  <c r="BH88" i="3"/>
  <c r="BI88" i="3" s="1"/>
  <c r="AZ88" i="3"/>
  <c r="AY88" i="3"/>
  <c r="AW88" i="3"/>
  <c r="AX88" i="3" s="1"/>
  <c r="AO88" i="3"/>
  <c r="AN88" i="3"/>
  <c r="AL88" i="3"/>
  <c r="AM88" i="3" s="1"/>
  <c r="AD88" i="3"/>
  <c r="AC88" i="3"/>
  <c r="AA88" i="3"/>
  <c r="AB88" i="3" s="1"/>
  <c r="S88" i="3"/>
  <c r="R88" i="3"/>
  <c r="CH87" i="3"/>
  <c r="CI87" i="3" s="1"/>
  <c r="CD87" i="3"/>
  <c r="CC87" i="3"/>
  <c r="CA87" i="3"/>
  <c r="CB87" i="3" s="1"/>
  <c r="BK87" i="3"/>
  <c r="BJ87" i="3"/>
  <c r="BH87" i="3"/>
  <c r="BI87" i="3" s="1"/>
  <c r="AZ87" i="3"/>
  <c r="AY87" i="3"/>
  <c r="AW87" i="3"/>
  <c r="AX87" i="3" s="1"/>
  <c r="AO87" i="3"/>
  <c r="AN87" i="3"/>
  <c r="AL87" i="3"/>
  <c r="AM87" i="3" s="1"/>
  <c r="AD87" i="3"/>
  <c r="AC87" i="3"/>
  <c r="AA87" i="3"/>
  <c r="S87" i="3"/>
  <c r="R87" i="3"/>
  <c r="CH86" i="3"/>
  <c r="CI86" i="3" s="1"/>
  <c r="CD86" i="3"/>
  <c r="CC86" i="3"/>
  <c r="CA86" i="3"/>
  <c r="CB86" i="3" s="1"/>
  <c r="BK86" i="3"/>
  <c r="BJ86" i="3"/>
  <c r="BH86" i="3"/>
  <c r="BI86" i="3" s="1"/>
  <c r="AZ86" i="3"/>
  <c r="AY86" i="3"/>
  <c r="AW86" i="3"/>
  <c r="AX86" i="3" s="1"/>
  <c r="AO86" i="3"/>
  <c r="AN86" i="3"/>
  <c r="AL86" i="3"/>
  <c r="AM86" i="3" s="1"/>
  <c r="AD86" i="3"/>
  <c r="AC86" i="3"/>
  <c r="AA86" i="3"/>
  <c r="S86" i="3"/>
  <c r="R86" i="3"/>
  <c r="CH85" i="3"/>
  <c r="CI85" i="3" s="1"/>
  <c r="CD85" i="3"/>
  <c r="CC85" i="3"/>
  <c r="CA85" i="3"/>
  <c r="CB85" i="3" s="1"/>
  <c r="BK85" i="3"/>
  <c r="BJ85" i="3"/>
  <c r="BH85" i="3"/>
  <c r="BI85" i="3" s="1"/>
  <c r="AZ85" i="3"/>
  <c r="AY85" i="3"/>
  <c r="AW85" i="3"/>
  <c r="AX85" i="3" s="1"/>
  <c r="AO85" i="3"/>
  <c r="AN85" i="3"/>
  <c r="AL85" i="3"/>
  <c r="AM85" i="3" s="1"/>
  <c r="AD85" i="3"/>
  <c r="AC85" i="3"/>
  <c r="AA85" i="3"/>
  <c r="S85" i="3"/>
  <c r="R85" i="3"/>
  <c r="CH84" i="3"/>
  <c r="CI84" i="3" s="1"/>
  <c r="CD84" i="3"/>
  <c r="CC84" i="3"/>
  <c r="CA84" i="3"/>
  <c r="CB84" i="3" s="1"/>
  <c r="BK84" i="3"/>
  <c r="BJ84" i="3"/>
  <c r="BH84" i="3"/>
  <c r="BI84" i="3" s="1"/>
  <c r="AZ84" i="3"/>
  <c r="AY84" i="3"/>
  <c r="AW84" i="3"/>
  <c r="AX84" i="3" s="1"/>
  <c r="AO84" i="3"/>
  <c r="AN84" i="3"/>
  <c r="AL84" i="3"/>
  <c r="AM84" i="3" s="1"/>
  <c r="AD84" i="3"/>
  <c r="AC84" i="3"/>
  <c r="AA84" i="3"/>
  <c r="S84" i="3"/>
  <c r="R84" i="3"/>
  <c r="CH83" i="3"/>
  <c r="CI83" i="3" s="1"/>
  <c r="CD83" i="3"/>
  <c r="CC83" i="3"/>
  <c r="CA83" i="3"/>
  <c r="CB83" i="3" s="1"/>
  <c r="BK83" i="3"/>
  <c r="BJ83" i="3"/>
  <c r="BH83" i="3"/>
  <c r="BI83" i="3" s="1"/>
  <c r="AZ83" i="3"/>
  <c r="AY83" i="3"/>
  <c r="AW83" i="3"/>
  <c r="AX83" i="3" s="1"/>
  <c r="AO83" i="3"/>
  <c r="AN83" i="3"/>
  <c r="AL83" i="3"/>
  <c r="AM83" i="3" s="1"/>
  <c r="AD83" i="3"/>
  <c r="AC83" i="3"/>
  <c r="AA83" i="3"/>
  <c r="S83" i="3"/>
  <c r="R83" i="3"/>
  <c r="CH82" i="3"/>
  <c r="CI82" i="3" s="1"/>
  <c r="CD82" i="3"/>
  <c r="CC82" i="3"/>
  <c r="CA82" i="3"/>
  <c r="CB82" i="3" s="1"/>
  <c r="BK82" i="3"/>
  <c r="BJ82" i="3"/>
  <c r="BH82" i="3"/>
  <c r="BI82" i="3" s="1"/>
  <c r="AZ82" i="3"/>
  <c r="AY82" i="3"/>
  <c r="AW82" i="3"/>
  <c r="AX82" i="3" s="1"/>
  <c r="AO82" i="3"/>
  <c r="AN82" i="3"/>
  <c r="AL82" i="3"/>
  <c r="AM82" i="3" s="1"/>
  <c r="AD82" i="3"/>
  <c r="AC82" i="3"/>
  <c r="AA82" i="3"/>
  <c r="S82" i="3"/>
  <c r="R82" i="3"/>
  <c r="CH81" i="3"/>
  <c r="CI81" i="3" s="1"/>
  <c r="CD81" i="3"/>
  <c r="CC81" i="3"/>
  <c r="CA81" i="3"/>
  <c r="CB81" i="3" s="1"/>
  <c r="BK81" i="3"/>
  <c r="BJ81" i="3"/>
  <c r="BH81" i="3"/>
  <c r="BI81" i="3" s="1"/>
  <c r="AZ81" i="3"/>
  <c r="AY81" i="3"/>
  <c r="AW81" i="3"/>
  <c r="AX81" i="3" s="1"/>
  <c r="AO81" i="3"/>
  <c r="AN81" i="3"/>
  <c r="AL81" i="3"/>
  <c r="AM81" i="3" s="1"/>
  <c r="AD81" i="3"/>
  <c r="AC81" i="3"/>
  <c r="AA81" i="3"/>
  <c r="S81" i="3"/>
  <c r="R81" i="3"/>
  <c r="CH80" i="3"/>
  <c r="CI80" i="3" s="1"/>
  <c r="CD80" i="3"/>
  <c r="CC80" i="3"/>
  <c r="CA80" i="3"/>
  <c r="CB80" i="3" s="1"/>
  <c r="BK80" i="3"/>
  <c r="BJ80" i="3"/>
  <c r="BH80" i="3"/>
  <c r="BI80" i="3" s="1"/>
  <c r="AZ80" i="3"/>
  <c r="AY80" i="3"/>
  <c r="AW80" i="3"/>
  <c r="AX80" i="3" s="1"/>
  <c r="AO80" i="3"/>
  <c r="AN80" i="3"/>
  <c r="AL80" i="3"/>
  <c r="AM80" i="3" s="1"/>
  <c r="AD80" i="3"/>
  <c r="AC80" i="3"/>
  <c r="AA80" i="3"/>
  <c r="S80" i="3"/>
  <c r="R80" i="3"/>
  <c r="CH79" i="3"/>
  <c r="CI79" i="3" s="1"/>
  <c r="CD79" i="3"/>
  <c r="CC79" i="3"/>
  <c r="CA79" i="3"/>
  <c r="CB79" i="3" s="1"/>
  <c r="BK79" i="3"/>
  <c r="BJ79" i="3"/>
  <c r="BH79" i="3"/>
  <c r="BI79" i="3" s="1"/>
  <c r="AZ79" i="3"/>
  <c r="AY79" i="3"/>
  <c r="AW79" i="3"/>
  <c r="AX79" i="3" s="1"/>
  <c r="AO79" i="3"/>
  <c r="AN79" i="3"/>
  <c r="AL79" i="3"/>
  <c r="AM79" i="3" s="1"/>
  <c r="AD79" i="3"/>
  <c r="AC79" i="3"/>
  <c r="AA79" i="3"/>
  <c r="S79" i="3"/>
  <c r="R79" i="3"/>
  <c r="CH78" i="3"/>
  <c r="CI78" i="3" s="1"/>
  <c r="CD78" i="3"/>
  <c r="CC78" i="3"/>
  <c r="CA78" i="3"/>
  <c r="CB78" i="3" s="1"/>
  <c r="BK78" i="3"/>
  <c r="BJ78" i="3"/>
  <c r="BH78" i="3"/>
  <c r="BI78" i="3" s="1"/>
  <c r="AZ78" i="3"/>
  <c r="AY78" i="3"/>
  <c r="AW78" i="3"/>
  <c r="AX78" i="3" s="1"/>
  <c r="AO78" i="3"/>
  <c r="AN78" i="3"/>
  <c r="AL78" i="3"/>
  <c r="AM78" i="3" s="1"/>
  <c r="AD78" i="3"/>
  <c r="AC78" i="3"/>
  <c r="AA78" i="3"/>
  <c r="S78" i="3"/>
  <c r="R78" i="3"/>
  <c r="CH77" i="3"/>
  <c r="CI77" i="3" s="1"/>
  <c r="CD77" i="3"/>
  <c r="CC77" i="3"/>
  <c r="CA77" i="3"/>
  <c r="CB77" i="3" s="1"/>
  <c r="BK77" i="3"/>
  <c r="BJ77" i="3"/>
  <c r="BH77" i="3"/>
  <c r="BI77" i="3" s="1"/>
  <c r="AZ77" i="3"/>
  <c r="AY77" i="3"/>
  <c r="AW77" i="3"/>
  <c r="AX77" i="3" s="1"/>
  <c r="AO77" i="3"/>
  <c r="AN77" i="3"/>
  <c r="AL77" i="3"/>
  <c r="AM77" i="3" s="1"/>
  <c r="AD77" i="3"/>
  <c r="AC77" i="3"/>
  <c r="AA77" i="3"/>
  <c r="S77" i="3"/>
  <c r="R77" i="3"/>
  <c r="CH76" i="3"/>
  <c r="CI76" i="3" s="1"/>
  <c r="CD76" i="3"/>
  <c r="CC76" i="3"/>
  <c r="CA76" i="3"/>
  <c r="CB76" i="3" s="1"/>
  <c r="BK76" i="3"/>
  <c r="BJ76" i="3"/>
  <c r="BH76" i="3"/>
  <c r="BI76" i="3" s="1"/>
  <c r="AZ76" i="3"/>
  <c r="AY76" i="3"/>
  <c r="AW76" i="3"/>
  <c r="AX76" i="3" s="1"/>
  <c r="AO76" i="3"/>
  <c r="AN76" i="3"/>
  <c r="AL76" i="3"/>
  <c r="AM76" i="3" s="1"/>
  <c r="AD76" i="3"/>
  <c r="AC76" i="3"/>
  <c r="AA76" i="3"/>
  <c r="S76" i="3"/>
  <c r="R76" i="3"/>
  <c r="CH75" i="3"/>
  <c r="CI75" i="3" s="1"/>
  <c r="CD75" i="3"/>
  <c r="CC75" i="3"/>
  <c r="CB75" i="3"/>
  <c r="CA75" i="3"/>
  <c r="BK75" i="3"/>
  <c r="BJ75" i="3"/>
  <c r="BH75" i="3"/>
  <c r="BI75" i="3" s="1"/>
  <c r="AZ75" i="3"/>
  <c r="AY75" i="3"/>
  <c r="AW75" i="3"/>
  <c r="AX75" i="3" s="1"/>
  <c r="AO75" i="3"/>
  <c r="AN75" i="3"/>
  <c r="AL75" i="3"/>
  <c r="AM75" i="3" s="1"/>
  <c r="AD75" i="3"/>
  <c r="AC75" i="3"/>
  <c r="AA75" i="3"/>
  <c r="S75" i="3"/>
  <c r="R75" i="3"/>
  <c r="CH74" i="3"/>
  <c r="CI74" i="3" s="1"/>
  <c r="CD74" i="3"/>
  <c r="CC74" i="3"/>
  <c r="CA74" i="3"/>
  <c r="CB74" i="3" s="1"/>
  <c r="BK74" i="3"/>
  <c r="BJ74" i="3"/>
  <c r="BH74" i="3"/>
  <c r="BI74" i="3" s="1"/>
  <c r="AZ74" i="3"/>
  <c r="AY74" i="3"/>
  <c r="AW74" i="3"/>
  <c r="AX74" i="3" s="1"/>
  <c r="AO74" i="3"/>
  <c r="AN74" i="3"/>
  <c r="AL74" i="3"/>
  <c r="AM74" i="3" s="1"/>
  <c r="AD74" i="3"/>
  <c r="AC74" i="3"/>
  <c r="AA74" i="3"/>
  <c r="S74" i="3"/>
  <c r="R74" i="3"/>
  <c r="CH73" i="3"/>
  <c r="CI73" i="3" s="1"/>
  <c r="CD73" i="3"/>
  <c r="CC73" i="3"/>
  <c r="CA73" i="3"/>
  <c r="CB73" i="3" s="1"/>
  <c r="BK73" i="3"/>
  <c r="BJ73" i="3"/>
  <c r="BH73" i="3"/>
  <c r="BI73" i="3" s="1"/>
  <c r="AZ73" i="3"/>
  <c r="AY73" i="3"/>
  <c r="AW73" i="3"/>
  <c r="AX73" i="3" s="1"/>
  <c r="AO73" i="3"/>
  <c r="AN73" i="3"/>
  <c r="AL73" i="3"/>
  <c r="AM73" i="3" s="1"/>
  <c r="AD73" i="3"/>
  <c r="AC73" i="3"/>
  <c r="AA73" i="3"/>
  <c r="S73" i="3"/>
  <c r="R73" i="3"/>
  <c r="CH72" i="3"/>
  <c r="CI72" i="3" s="1"/>
  <c r="CD72" i="3"/>
  <c r="CC72" i="3"/>
  <c r="CA72" i="3"/>
  <c r="CB72" i="3" s="1"/>
  <c r="BK72" i="3"/>
  <c r="BJ72" i="3"/>
  <c r="BH72" i="3"/>
  <c r="BI72" i="3" s="1"/>
  <c r="AZ72" i="3"/>
  <c r="AY72" i="3"/>
  <c r="AW72" i="3"/>
  <c r="AX72" i="3" s="1"/>
  <c r="AO72" i="3"/>
  <c r="AN72" i="3"/>
  <c r="AL72" i="3"/>
  <c r="AM72" i="3" s="1"/>
  <c r="AD72" i="3"/>
  <c r="AC72" i="3"/>
  <c r="AA72" i="3"/>
  <c r="S72" i="3"/>
  <c r="R72" i="3"/>
  <c r="CH71" i="3"/>
  <c r="CI71" i="3" s="1"/>
  <c r="CD71" i="3"/>
  <c r="CC71" i="3"/>
  <c r="CA71" i="3"/>
  <c r="CB71" i="3" s="1"/>
  <c r="BK71" i="3"/>
  <c r="BJ71" i="3"/>
  <c r="BH71" i="3"/>
  <c r="BI71" i="3" s="1"/>
  <c r="AZ71" i="3"/>
  <c r="AY71" i="3"/>
  <c r="AW71" i="3"/>
  <c r="AX71" i="3" s="1"/>
  <c r="AO71" i="3"/>
  <c r="AN71" i="3"/>
  <c r="AL71" i="3"/>
  <c r="AM71" i="3" s="1"/>
  <c r="AD71" i="3"/>
  <c r="AC71" i="3"/>
  <c r="AA71" i="3"/>
  <c r="S71" i="3"/>
  <c r="R71" i="3"/>
  <c r="CH70" i="3"/>
  <c r="CI70" i="3" s="1"/>
  <c r="CD70" i="3"/>
  <c r="CC70" i="3"/>
  <c r="CA70" i="3"/>
  <c r="CB70" i="3" s="1"/>
  <c r="BK70" i="3"/>
  <c r="BJ70" i="3"/>
  <c r="BH70" i="3"/>
  <c r="BI70" i="3" s="1"/>
  <c r="AZ70" i="3"/>
  <c r="AY70" i="3"/>
  <c r="AW70" i="3"/>
  <c r="AX70" i="3" s="1"/>
  <c r="AO70" i="3"/>
  <c r="AN70" i="3"/>
  <c r="AL70" i="3"/>
  <c r="AM70" i="3" s="1"/>
  <c r="AD70" i="3"/>
  <c r="AC70" i="3"/>
  <c r="AA70" i="3"/>
  <c r="S70" i="3"/>
  <c r="R70" i="3"/>
  <c r="CH69" i="3"/>
  <c r="CI69" i="3" s="1"/>
  <c r="CD69" i="3"/>
  <c r="CC69" i="3"/>
  <c r="CA69" i="3"/>
  <c r="CB69" i="3" s="1"/>
  <c r="BK69" i="3"/>
  <c r="BJ69" i="3"/>
  <c r="BH69" i="3"/>
  <c r="BI69" i="3" s="1"/>
  <c r="AZ69" i="3"/>
  <c r="AY69" i="3"/>
  <c r="AW69" i="3"/>
  <c r="AO69" i="3"/>
  <c r="AN69" i="3"/>
  <c r="AL69" i="3"/>
  <c r="AD69" i="3"/>
  <c r="AC69" i="3"/>
  <c r="AA69" i="3"/>
  <c r="S69" i="3"/>
  <c r="R69" i="3"/>
  <c r="CH68" i="3"/>
  <c r="CI68" i="3" s="1"/>
  <c r="CD68" i="3"/>
  <c r="CC68" i="3"/>
  <c r="CA68" i="3"/>
  <c r="CB68" i="3" s="1"/>
  <c r="BK68" i="3"/>
  <c r="BJ68" i="3"/>
  <c r="BH68" i="3"/>
  <c r="BI68" i="3" s="1"/>
  <c r="AZ68" i="3"/>
  <c r="AY68" i="3"/>
  <c r="AW68" i="3"/>
  <c r="AX68" i="3" s="1"/>
  <c r="AO68" i="3"/>
  <c r="AN68" i="3"/>
  <c r="AL68" i="3"/>
  <c r="AD68" i="3"/>
  <c r="AC68" i="3"/>
  <c r="AA68" i="3"/>
  <c r="S68" i="3"/>
  <c r="R68" i="3"/>
  <c r="CH67" i="3"/>
  <c r="CI67" i="3" s="1"/>
  <c r="CD67" i="3"/>
  <c r="CC67" i="3"/>
  <c r="CA67" i="3"/>
  <c r="CB67" i="3" s="1"/>
  <c r="BK67" i="3"/>
  <c r="BJ67" i="3"/>
  <c r="BH67" i="3"/>
  <c r="BI67" i="3" s="1"/>
  <c r="AZ67" i="3"/>
  <c r="AY67" i="3"/>
  <c r="AW67" i="3"/>
  <c r="AX67" i="3" s="1"/>
  <c r="AO67" i="3"/>
  <c r="AN67" i="3"/>
  <c r="AL67" i="3"/>
  <c r="AD67" i="3"/>
  <c r="AC67" i="3"/>
  <c r="AA67" i="3"/>
  <c r="S67" i="3"/>
  <c r="R67" i="3"/>
  <c r="CH66" i="3"/>
  <c r="CI66" i="3" s="1"/>
  <c r="CD66" i="3"/>
  <c r="CC66" i="3"/>
  <c r="CA66" i="3"/>
  <c r="CB66" i="3" s="1"/>
  <c r="BK66" i="3"/>
  <c r="BJ66" i="3"/>
  <c r="BH66" i="3"/>
  <c r="BI66" i="3" s="1"/>
  <c r="AZ66" i="3"/>
  <c r="AY66" i="3"/>
  <c r="AW66" i="3"/>
  <c r="AX66" i="3" s="1"/>
  <c r="AO66" i="3"/>
  <c r="AN66" i="3"/>
  <c r="AL66" i="3"/>
  <c r="AD66" i="3"/>
  <c r="AC66" i="3"/>
  <c r="AA66" i="3"/>
  <c r="S66" i="3"/>
  <c r="R66" i="3"/>
  <c r="CI65" i="3"/>
  <c r="CH65" i="3"/>
  <c r="CD65" i="3"/>
  <c r="CC65" i="3"/>
  <c r="CA65" i="3"/>
  <c r="CB65" i="3" s="1"/>
  <c r="BK65" i="3"/>
  <c r="BJ65" i="3"/>
  <c r="BH65" i="3"/>
  <c r="BI65" i="3" s="1"/>
  <c r="AZ65" i="3"/>
  <c r="AY65" i="3"/>
  <c r="AW65" i="3"/>
  <c r="AX65" i="3" s="1"/>
  <c r="AO65" i="3"/>
  <c r="AN65" i="3"/>
  <c r="AL65" i="3"/>
  <c r="AD65" i="3"/>
  <c r="AC65" i="3"/>
  <c r="AA65" i="3"/>
  <c r="S65" i="3"/>
  <c r="R65" i="3"/>
  <c r="CH64" i="3"/>
  <c r="CI64" i="3" s="1"/>
  <c r="CD64" i="3"/>
  <c r="CC64" i="3"/>
  <c r="CA64" i="3"/>
  <c r="CB64" i="3" s="1"/>
  <c r="BK64" i="3"/>
  <c r="BJ64" i="3"/>
  <c r="BH64" i="3"/>
  <c r="BI64" i="3" s="1"/>
  <c r="AZ64" i="3"/>
  <c r="AY64" i="3"/>
  <c r="AW64" i="3"/>
  <c r="AX64" i="3" s="1"/>
  <c r="AO64" i="3"/>
  <c r="AN64" i="3"/>
  <c r="AL64" i="3"/>
  <c r="AD64" i="3"/>
  <c r="AC64" i="3"/>
  <c r="AA64" i="3"/>
  <c r="S64" i="3"/>
  <c r="R64" i="3"/>
  <c r="CH63" i="3"/>
  <c r="CI63" i="3" s="1"/>
  <c r="CD63" i="3"/>
  <c r="CC63" i="3"/>
  <c r="CA63" i="3"/>
  <c r="CB63" i="3" s="1"/>
  <c r="BK63" i="3"/>
  <c r="BJ63" i="3"/>
  <c r="BH63" i="3"/>
  <c r="BI63" i="3" s="1"/>
  <c r="AZ63" i="3"/>
  <c r="AY63" i="3"/>
  <c r="AW63" i="3"/>
  <c r="AX63" i="3" s="1"/>
  <c r="AO63" i="3"/>
  <c r="AN63" i="3"/>
  <c r="AL63" i="3"/>
  <c r="AD63" i="3"/>
  <c r="AC63" i="3"/>
  <c r="AA63" i="3"/>
  <c r="S63" i="3"/>
  <c r="R63" i="3"/>
  <c r="CH62" i="3"/>
  <c r="CI62" i="3" s="1"/>
  <c r="CD62" i="3"/>
  <c r="CC62" i="3"/>
  <c r="CA62" i="3"/>
  <c r="CB62" i="3" s="1"/>
  <c r="BK62" i="3"/>
  <c r="BJ62" i="3"/>
  <c r="BH62" i="3"/>
  <c r="BI62" i="3" s="1"/>
  <c r="AZ62" i="3"/>
  <c r="AY62" i="3"/>
  <c r="AW62" i="3"/>
  <c r="AX62" i="3" s="1"/>
  <c r="AO62" i="3"/>
  <c r="AN62" i="3"/>
  <c r="AL62" i="3"/>
  <c r="AD62" i="3"/>
  <c r="AC62" i="3"/>
  <c r="AA62" i="3"/>
  <c r="S62" i="3"/>
  <c r="R62" i="3"/>
  <c r="CH61" i="3"/>
  <c r="CI61" i="3" s="1"/>
  <c r="CD61" i="3"/>
  <c r="CC61" i="3"/>
  <c r="CA61" i="3"/>
  <c r="CB61" i="3" s="1"/>
  <c r="BK61" i="3"/>
  <c r="BJ61" i="3"/>
  <c r="BH61" i="3"/>
  <c r="BI61" i="3" s="1"/>
  <c r="AZ61" i="3"/>
  <c r="AY61" i="3"/>
  <c r="AW61" i="3"/>
  <c r="AX61" i="3" s="1"/>
  <c r="AO61" i="3"/>
  <c r="AN61" i="3"/>
  <c r="AL61" i="3"/>
  <c r="AD61" i="3"/>
  <c r="AC61" i="3"/>
  <c r="AA61" i="3"/>
  <c r="S61" i="3"/>
  <c r="R61" i="3"/>
  <c r="CH60" i="3"/>
  <c r="CI60" i="3" s="1"/>
  <c r="CD60" i="3"/>
  <c r="CC60" i="3"/>
  <c r="CA60" i="3"/>
  <c r="CB60" i="3" s="1"/>
  <c r="BK60" i="3"/>
  <c r="BJ60" i="3"/>
  <c r="BH60" i="3"/>
  <c r="BI60" i="3" s="1"/>
  <c r="AZ60" i="3"/>
  <c r="AY60" i="3"/>
  <c r="AW60" i="3"/>
  <c r="AX60" i="3" s="1"/>
  <c r="AO60" i="3"/>
  <c r="AN60" i="3"/>
  <c r="AL60" i="3"/>
  <c r="AD60" i="3"/>
  <c r="AC60" i="3"/>
  <c r="AA60" i="3"/>
  <c r="S60" i="3"/>
  <c r="R60" i="3"/>
  <c r="CH59" i="3"/>
  <c r="CI59" i="3" s="1"/>
  <c r="CD59" i="3"/>
  <c r="CC59" i="3"/>
  <c r="CA59" i="3"/>
  <c r="CB59" i="3" s="1"/>
  <c r="BK59" i="3"/>
  <c r="BJ59" i="3"/>
  <c r="BH59" i="3"/>
  <c r="BI59" i="3" s="1"/>
  <c r="AZ59" i="3"/>
  <c r="AY59" i="3"/>
  <c r="AW59" i="3"/>
  <c r="AX59" i="3" s="1"/>
  <c r="AO59" i="3"/>
  <c r="AN59" i="3"/>
  <c r="AL59" i="3"/>
  <c r="AD59" i="3"/>
  <c r="AC59" i="3"/>
  <c r="AA59" i="3"/>
  <c r="S59" i="3"/>
  <c r="R59" i="3"/>
  <c r="CH58" i="3"/>
  <c r="CI58" i="3" s="1"/>
  <c r="CD58" i="3"/>
  <c r="CC58" i="3"/>
  <c r="CA58" i="3"/>
  <c r="CB58" i="3" s="1"/>
  <c r="BK58" i="3"/>
  <c r="BJ58" i="3"/>
  <c r="BH58" i="3"/>
  <c r="BI58" i="3" s="1"/>
  <c r="AZ58" i="3"/>
  <c r="AY58" i="3"/>
  <c r="AW58" i="3"/>
  <c r="AX58" i="3" s="1"/>
  <c r="AO58" i="3"/>
  <c r="AN58" i="3"/>
  <c r="AL58" i="3"/>
  <c r="AD58" i="3"/>
  <c r="AC58" i="3"/>
  <c r="AA58" i="3"/>
  <c r="S58" i="3"/>
  <c r="R58" i="3"/>
  <c r="CH57" i="3"/>
  <c r="CI57" i="3" s="1"/>
  <c r="CD57" i="3"/>
  <c r="CC57" i="3"/>
  <c r="CA57" i="3"/>
  <c r="CB57" i="3" s="1"/>
  <c r="BK57" i="3"/>
  <c r="BJ57" i="3"/>
  <c r="BH57" i="3"/>
  <c r="BI57" i="3" s="1"/>
  <c r="AZ57" i="3"/>
  <c r="AY57" i="3"/>
  <c r="AW57" i="3"/>
  <c r="AX57" i="3" s="1"/>
  <c r="AO57" i="3"/>
  <c r="AN57" i="3"/>
  <c r="AL57" i="3"/>
  <c r="AD57" i="3"/>
  <c r="AC57" i="3"/>
  <c r="AA57" i="3"/>
  <c r="S57" i="3"/>
  <c r="R57" i="3"/>
  <c r="CH56" i="3"/>
  <c r="CI56" i="3" s="1"/>
  <c r="CD56" i="3"/>
  <c r="CC56" i="3"/>
  <c r="CA56" i="3"/>
  <c r="CB56" i="3" s="1"/>
  <c r="BK56" i="3"/>
  <c r="BJ56" i="3"/>
  <c r="BH56" i="3"/>
  <c r="BI56" i="3" s="1"/>
  <c r="AZ56" i="3"/>
  <c r="AY56" i="3"/>
  <c r="AW56" i="3"/>
  <c r="AX56" i="3" s="1"/>
  <c r="AO56" i="3"/>
  <c r="AN56" i="3"/>
  <c r="AL56" i="3"/>
  <c r="AD56" i="3"/>
  <c r="AC56" i="3"/>
  <c r="AA56" i="3"/>
  <c r="S56" i="3"/>
  <c r="R56" i="3"/>
  <c r="CI55" i="3"/>
  <c r="CH55" i="3"/>
  <c r="CD55" i="3"/>
  <c r="CC55" i="3"/>
  <c r="CA55" i="3"/>
  <c r="CB55" i="3" s="1"/>
  <c r="BK55" i="3"/>
  <c r="BJ55" i="3"/>
  <c r="BH55" i="3"/>
  <c r="BI55" i="3" s="1"/>
  <c r="AZ55" i="3"/>
  <c r="AY55" i="3"/>
  <c r="AW55" i="3"/>
  <c r="AX55" i="3" s="1"/>
  <c r="AO55" i="3"/>
  <c r="AN55" i="3"/>
  <c r="AL55" i="3"/>
  <c r="AD55" i="3"/>
  <c r="AC55" i="3"/>
  <c r="AA55" i="3"/>
  <c r="S55" i="3"/>
  <c r="R55" i="3"/>
  <c r="CG51" i="3"/>
  <c r="CE51" i="3"/>
  <c r="CD51" i="3"/>
  <c r="BT51" i="3"/>
  <c r="BO51" i="3"/>
  <c r="BK51" i="3"/>
  <c r="BD51" i="3"/>
  <c r="BC51" i="3"/>
  <c r="BB51" i="3"/>
  <c r="BA51" i="3"/>
  <c r="AZ51" i="3"/>
  <c r="AY51" i="3"/>
  <c r="AS51" i="3"/>
  <c r="AR51" i="3"/>
  <c r="AQ51" i="3"/>
  <c r="AP51" i="3"/>
  <c r="AO51" i="3"/>
  <c r="AN51" i="3"/>
  <c r="AH51" i="3"/>
  <c r="AG51" i="3"/>
  <c r="AF51" i="3"/>
  <c r="AE51" i="3"/>
  <c r="AD51" i="3"/>
  <c r="AC51" i="3"/>
  <c r="W51" i="3"/>
  <c r="V51" i="3"/>
  <c r="U51" i="3"/>
  <c r="T51" i="3"/>
  <c r="S51" i="3"/>
  <c r="R51" i="3"/>
  <c r="CH192" i="3"/>
  <c r="CD192" i="3"/>
  <c r="CC192" i="3"/>
  <c r="CA192" i="3"/>
  <c r="BK192" i="3"/>
  <c r="BJ192" i="3"/>
  <c r="BH192" i="3"/>
  <c r="BI192" i="3" s="1"/>
  <c r="AZ192" i="3"/>
  <c r="AY192" i="3"/>
  <c r="AW192" i="3"/>
  <c r="AX192" i="3" s="1"/>
  <c r="AO192" i="3"/>
  <c r="AN192" i="3"/>
  <c r="AL192" i="3"/>
  <c r="AM192" i="3" s="1"/>
  <c r="AD192" i="3"/>
  <c r="AC192" i="3"/>
  <c r="AA192" i="3"/>
  <c r="AB192" i="3" s="1"/>
  <c r="S192" i="3"/>
  <c r="R192" i="3"/>
  <c r="CH191" i="3"/>
  <c r="CD191" i="3"/>
  <c r="CC191" i="3"/>
  <c r="CA191" i="3"/>
  <c r="BK191" i="3"/>
  <c r="BJ191" i="3"/>
  <c r="BH191" i="3"/>
  <c r="BI191" i="3" s="1"/>
  <c r="AZ191" i="3"/>
  <c r="AY191" i="3"/>
  <c r="AW191" i="3"/>
  <c r="AX191" i="3" s="1"/>
  <c r="AO191" i="3"/>
  <c r="AN191" i="3"/>
  <c r="AL191" i="3"/>
  <c r="AM191" i="3" s="1"/>
  <c r="AD191" i="3"/>
  <c r="AC191" i="3"/>
  <c r="AA191" i="3"/>
  <c r="AB191" i="3" s="1"/>
  <c r="S191" i="3"/>
  <c r="R191" i="3"/>
  <c r="CH190" i="3"/>
  <c r="CI190" i="3" s="1"/>
  <c r="CD190" i="3"/>
  <c r="CC190" i="3"/>
  <c r="CA190" i="3"/>
  <c r="CB190" i="3" s="1"/>
  <c r="BK190" i="3"/>
  <c r="BJ190" i="3"/>
  <c r="BH190" i="3"/>
  <c r="BI190" i="3" s="1"/>
  <c r="AZ190" i="3"/>
  <c r="AY190" i="3"/>
  <c r="AW190" i="3"/>
  <c r="AX190" i="3" s="1"/>
  <c r="AO190" i="3"/>
  <c r="AN190" i="3"/>
  <c r="AL190" i="3"/>
  <c r="AM190" i="3" s="1"/>
  <c r="AD190" i="3"/>
  <c r="AC190" i="3"/>
  <c r="AA190" i="3"/>
  <c r="AB190" i="3" s="1"/>
  <c r="S190" i="3"/>
  <c r="R190" i="3"/>
  <c r="CH189" i="3"/>
  <c r="CI189" i="3" s="1"/>
  <c r="CD189" i="3"/>
  <c r="CC189" i="3"/>
  <c r="CA189" i="3"/>
  <c r="CB189" i="3" s="1"/>
  <c r="BK189" i="3"/>
  <c r="BJ189" i="3"/>
  <c r="BH189" i="3"/>
  <c r="BI189" i="3" s="1"/>
  <c r="AZ189" i="3"/>
  <c r="AY189" i="3"/>
  <c r="AW189" i="3"/>
  <c r="AX189" i="3" s="1"/>
  <c r="AO189" i="3"/>
  <c r="AN189" i="3"/>
  <c r="AL189" i="3"/>
  <c r="AM189" i="3" s="1"/>
  <c r="AD189" i="3"/>
  <c r="AC189" i="3"/>
  <c r="AA189" i="3"/>
  <c r="AB189" i="3" s="1"/>
  <c r="S189" i="3"/>
  <c r="R189" i="3"/>
  <c r="CH188" i="3"/>
  <c r="CI188" i="3" s="1"/>
  <c r="CD188" i="3"/>
  <c r="CC188" i="3"/>
  <c r="CA188" i="3"/>
  <c r="CB188" i="3" s="1"/>
  <c r="BK188" i="3"/>
  <c r="BJ188" i="3"/>
  <c r="BH188" i="3"/>
  <c r="BI188" i="3" s="1"/>
  <c r="AZ188" i="3"/>
  <c r="AY188" i="3"/>
  <c r="AW188" i="3"/>
  <c r="AX188" i="3" s="1"/>
  <c r="AO188" i="3"/>
  <c r="AN188" i="3"/>
  <c r="AL188" i="3"/>
  <c r="AM188" i="3" s="1"/>
  <c r="AD188" i="3"/>
  <c r="AC188" i="3"/>
  <c r="AA188" i="3"/>
  <c r="AB188" i="3" s="1"/>
  <c r="S188" i="3"/>
  <c r="R188" i="3"/>
  <c r="CH187" i="3"/>
  <c r="CI187" i="3" s="1"/>
  <c r="CD187" i="3"/>
  <c r="CC187" i="3"/>
  <c r="CA187" i="3"/>
  <c r="CB187" i="3" s="1"/>
  <c r="BK187" i="3"/>
  <c r="BJ187" i="3"/>
  <c r="BH187" i="3"/>
  <c r="BI187" i="3" s="1"/>
  <c r="AZ187" i="3"/>
  <c r="AY187" i="3"/>
  <c r="AW187" i="3"/>
  <c r="AX187" i="3" s="1"/>
  <c r="AO187" i="3"/>
  <c r="AN187" i="3"/>
  <c r="AL187" i="3"/>
  <c r="AM187" i="3" s="1"/>
  <c r="AD187" i="3"/>
  <c r="AC187" i="3"/>
  <c r="AA187" i="3"/>
  <c r="AB187" i="3" s="1"/>
  <c r="S187" i="3"/>
  <c r="R187" i="3"/>
  <c r="CH186" i="3"/>
  <c r="CI186" i="3" s="1"/>
  <c r="CD186" i="3"/>
  <c r="CC186" i="3"/>
  <c r="CA186" i="3"/>
  <c r="CB186" i="3" s="1"/>
  <c r="BK186" i="3"/>
  <c r="BJ186" i="3"/>
  <c r="BH186" i="3"/>
  <c r="BI186" i="3" s="1"/>
  <c r="AZ186" i="3"/>
  <c r="AY186" i="3"/>
  <c r="AW186" i="3"/>
  <c r="AX186" i="3" s="1"/>
  <c r="AO186" i="3"/>
  <c r="AN186" i="3"/>
  <c r="AL186" i="3"/>
  <c r="AM186" i="3" s="1"/>
  <c r="AD186" i="3"/>
  <c r="AC186" i="3"/>
  <c r="AA186" i="3"/>
  <c r="S186" i="3"/>
  <c r="R186" i="3"/>
  <c r="CH185" i="3"/>
  <c r="CI185" i="3" s="1"/>
  <c r="CD185" i="3"/>
  <c r="CC185" i="3"/>
  <c r="CA185" i="3"/>
  <c r="CB185" i="3" s="1"/>
  <c r="BK185" i="3"/>
  <c r="BJ185" i="3"/>
  <c r="BH185" i="3"/>
  <c r="BI185" i="3" s="1"/>
  <c r="AZ185" i="3"/>
  <c r="AY185" i="3"/>
  <c r="AW185" i="3"/>
  <c r="AX185" i="3" s="1"/>
  <c r="AO185" i="3"/>
  <c r="AN185" i="3"/>
  <c r="AL185" i="3"/>
  <c r="AM185" i="3" s="1"/>
  <c r="AD185" i="3"/>
  <c r="AC185" i="3"/>
  <c r="AA185" i="3"/>
  <c r="S185" i="3"/>
  <c r="R185" i="3"/>
  <c r="CH184" i="3"/>
  <c r="CI184" i="3" s="1"/>
  <c r="CD184" i="3"/>
  <c r="CC184" i="3"/>
  <c r="CA184" i="3"/>
  <c r="CB184" i="3" s="1"/>
  <c r="BK184" i="3"/>
  <c r="BJ184" i="3"/>
  <c r="BH184" i="3"/>
  <c r="BI184" i="3" s="1"/>
  <c r="AZ184" i="3"/>
  <c r="AY184" i="3"/>
  <c r="AW184" i="3"/>
  <c r="AX184" i="3" s="1"/>
  <c r="AO184" i="3"/>
  <c r="AN184" i="3"/>
  <c r="AL184" i="3"/>
  <c r="AM184" i="3" s="1"/>
  <c r="AD184" i="3"/>
  <c r="AC184" i="3"/>
  <c r="AA184" i="3"/>
  <c r="S184" i="3"/>
  <c r="R184" i="3"/>
  <c r="CH183" i="3"/>
  <c r="CI183" i="3" s="1"/>
  <c r="CD183" i="3"/>
  <c r="CC183" i="3"/>
  <c r="CA183" i="3"/>
  <c r="CB183" i="3" s="1"/>
  <c r="BK183" i="3"/>
  <c r="BJ183" i="3"/>
  <c r="BH183" i="3"/>
  <c r="BI183" i="3" s="1"/>
  <c r="AZ183" i="3"/>
  <c r="AY183" i="3"/>
  <c r="AW183" i="3"/>
  <c r="AX183" i="3" s="1"/>
  <c r="AO183" i="3"/>
  <c r="AN183" i="3"/>
  <c r="AL183" i="3"/>
  <c r="AM183" i="3" s="1"/>
  <c r="AD183" i="3"/>
  <c r="AC183" i="3"/>
  <c r="AA183" i="3"/>
  <c r="S183" i="3"/>
  <c r="R183" i="3"/>
  <c r="CH182" i="3"/>
  <c r="CI182" i="3" s="1"/>
  <c r="CD182" i="3"/>
  <c r="CC182" i="3"/>
  <c r="CA182" i="3"/>
  <c r="CB182" i="3" s="1"/>
  <c r="BK182" i="3"/>
  <c r="BJ182" i="3"/>
  <c r="BH182" i="3"/>
  <c r="BI182" i="3" s="1"/>
  <c r="AZ182" i="3"/>
  <c r="AY182" i="3"/>
  <c r="AX182" i="3"/>
  <c r="AW182" i="3"/>
  <c r="AO182" i="3"/>
  <c r="AN182" i="3"/>
  <c r="AL182" i="3"/>
  <c r="AM182" i="3" s="1"/>
  <c r="AD182" i="3"/>
  <c r="AC182" i="3"/>
  <c r="AA182" i="3"/>
  <c r="S182" i="3"/>
  <c r="R182" i="3"/>
  <c r="CH181" i="3"/>
  <c r="CI181" i="3" s="1"/>
  <c r="CD181" i="3"/>
  <c r="CC181" i="3"/>
  <c r="CA181" i="3"/>
  <c r="CB181" i="3" s="1"/>
  <c r="BK181" i="3"/>
  <c r="BJ181" i="3"/>
  <c r="BH181" i="3"/>
  <c r="BI181" i="3" s="1"/>
  <c r="AZ181" i="3"/>
  <c r="AY181" i="3"/>
  <c r="AW181" i="3"/>
  <c r="AX181" i="3" s="1"/>
  <c r="AO181" i="3"/>
  <c r="AN181" i="3"/>
  <c r="AL181" i="3"/>
  <c r="AM181" i="3" s="1"/>
  <c r="AD181" i="3"/>
  <c r="AC181" i="3"/>
  <c r="AA181" i="3"/>
  <c r="S181" i="3"/>
  <c r="R181" i="3"/>
  <c r="CH180" i="3"/>
  <c r="CI180" i="3" s="1"/>
  <c r="CD180" i="3"/>
  <c r="CC180" i="3"/>
  <c r="CA180" i="3"/>
  <c r="CB180" i="3" s="1"/>
  <c r="BK180" i="3"/>
  <c r="BJ180" i="3"/>
  <c r="BH180" i="3"/>
  <c r="BI180" i="3" s="1"/>
  <c r="AZ180" i="3"/>
  <c r="AY180" i="3"/>
  <c r="AW180" i="3"/>
  <c r="AX180" i="3" s="1"/>
  <c r="AO180" i="3"/>
  <c r="AN180" i="3"/>
  <c r="AL180" i="3"/>
  <c r="AM180" i="3" s="1"/>
  <c r="AD180" i="3"/>
  <c r="AC180" i="3"/>
  <c r="AA180" i="3"/>
  <c r="S180" i="3"/>
  <c r="R180" i="3"/>
  <c r="CH179" i="3"/>
  <c r="CI179" i="3" s="1"/>
  <c r="CD179" i="3"/>
  <c r="CC179" i="3"/>
  <c r="CA179" i="3"/>
  <c r="CB179" i="3" s="1"/>
  <c r="BK179" i="3"/>
  <c r="BJ179" i="3"/>
  <c r="BH179" i="3"/>
  <c r="BI179" i="3" s="1"/>
  <c r="AZ179" i="3"/>
  <c r="AY179" i="3"/>
  <c r="AW179" i="3"/>
  <c r="AX179" i="3" s="1"/>
  <c r="AO179" i="3"/>
  <c r="AN179" i="3"/>
  <c r="AL179" i="3"/>
  <c r="AM179" i="3" s="1"/>
  <c r="AD179" i="3"/>
  <c r="AC179" i="3"/>
  <c r="AA179" i="3"/>
  <c r="S179" i="3"/>
  <c r="R179" i="3"/>
  <c r="CH178" i="3"/>
  <c r="CI178" i="3" s="1"/>
  <c r="CD178" i="3"/>
  <c r="CC178" i="3"/>
  <c r="CA178" i="3"/>
  <c r="CB178" i="3" s="1"/>
  <c r="BK178" i="3"/>
  <c r="BJ178" i="3"/>
  <c r="BH178" i="3"/>
  <c r="BI178" i="3" s="1"/>
  <c r="AZ178" i="3"/>
  <c r="AY178" i="3"/>
  <c r="AW178" i="3"/>
  <c r="AX178" i="3" s="1"/>
  <c r="AO178" i="3"/>
  <c r="AN178" i="3"/>
  <c r="AL178" i="3"/>
  <c r="AM178" i="3" s="1"/>
  <c r="AD178" i="3"/>
  <c r="AC178" i="3"/>
  <c r="AA178" i="3"/>
  <c r="S178" i="3"/>
  <c r="R178" i="3"/>
  <c r="CH177" i="3"/>
  <c r="CI177" i="3" s="1"/>
  <c r="CD177" i="3"/>
  <c r="CC177" i="3"/>
  <c r="CA177" i="3"/>
  <c r="CB177" i="3" s="1"/>
  <c r="BK177" i="3"/>
  <c r="BJ177" i="3"/>
  <c r="BH177" i="3"/>
  <c r="BI177" i="3" s="1"/>
  <c r="AZ177" i="3"/>
  <c r="AY177" i="3"/>
  <c r="AW177" i="3"/>
  <c r="AX177" i="3" s="1"/>
  <c r="AO177" i="3"/>
  <c r="AN177" i="3"/>
  <c r="AL177" i="3"/>
  <c r="AM177" i="3" s="1"/>
  <c r="AD177" i="3"/>
  <c r="AC177" i="3"/>
  <c r="AA177" i="3"/>
  <c r="S177" i="3"/>
  <c r="R177" i="3"/>
  <c r="CH176" i="3"/>
  <c r="CI176" i="3" s="1"/>
  <c r="CD176" i="3"/>
  <c r="CC176" i="3"/>
  <c r="CA176" i="3"/>
  <c r="CB176" i="3" s="1"/>
  <c r="BK176" i="3"/>
  <c r="BJ176" i="3"/>
  <c r="BH176" i="3"/>
  <c r="BI176" i="3" s="1"/>
  <c r="AZ176" i="3"/>
  <c r="AY176" i="3"/>
  <c r="AW176" i="3"/>
  <c r="AX176" i="3" s="1"/>
  <c r="AO176" i="3"/>
  <c r="AN176" i="3"/>
  <c r="AL176" i="3"/>
  <c r="AM176" i="3" s="1"/>
  <c r="AD176" i="3"/>
  <c r="AC176" i="3"/>
  <c r="AA176" i="3"/>
  <c r="S176" i="3"/>
  <c r="R176" i="3"/>
  <c r="CH175" i="3"/>
  <c r="CI175" i="3" s="1"/>
  <c r="CD175" i="3"/>
  <c r="CC175" i="3"/>
  <c r="CA175" i="3"/>
  <c r="CB175" i="3" s="1"/>
  <c r="BK175" i="3"/>
  <c r="BJ175" i="3"/>
  <c r="BH175" i="3"/>
  <c r="BI175" i="3" s="1"/>
  <c r="AZ175" i="3"/>
  <c r="AY175" i="3"/>
  <c r="AW175" i="3"/>
  <c r="AX175" i="3" s="1"/>
  <c r="AO175" i="3"/>
  <c r="AN175" i="3"/>
  <c r="AL175" i="3"/>
  <c r="AM175" i="3" s="1"/>
  <c r="AD175" i="3"/>
  <c r="AC175" i="3"/>
  <c r="AA175" i="3"/>
  <c r="S175" i="3"/>
  <c r="R175" i="3"/>
  <c r="CH174" i="3"/>
  <c r="CI174" i="3" s="1"/>
  <c r="CD174" i="3"/>
  <c r="CC174" i="3"/>
  <c r="CA174" i="3"/>
  <c r="CB174" i="3" s="1"/>
  <c r="BK174" i="3"/>
  <c r="BJ174" i="3"/>
  <c r="BH174" i="3"/>
  <c r="BI174" i="3" s="1"/>
  <c r="AZ174" i="3"/>
  <c r="AY174" i="3"/>
  <c r="AW174" i="3"/>
  <c r="AX174" i="3" s="1"/>
  <c r="AO174" i="3"/>
  <c r="AN174" i="3"/>
  <c r="AL174" i="3"/>
  <c r="AM174" i="3" s="1"/>
  <c r="AD174" i="3"/>
  <c r="AC174" i="3"/>
  <c r="AA174" i="3"/>
  <c r="S174" i="3"/>
  <c r="R174" i="3"/>
  <c r="CH173" i="3"/>
  <c r="CI173" i="3" s="1"/>
  <c r="CD173" i="3"/>
  <c r="CC173" i="3"/>
  <c r="CA173" i="3"/>
  <c r="CB173" i="3" s="1"/>
  <c r="BK173" i="3"/>
  <c r="BJ173" i="3"/>
  <c r="BH173" i="3"/>
  <c r="BI173" i="3" s="1"/>
  <c r="AZ173" i="3"/>
  <c r="AY173" i="3"/>
  <c r="AW173" i="3"/>
  <c r="AX173" i="3" s="1"/>
  <c r="AO173" i="3"/>
  <c r="AN173" i="3"/>
  <c r="AL173" i="3"/>
  <c r="AM173" i="3" s="1"/>
  <c r="AD173" i="3"/>
  <c r="AC173" i="3"/>
  <c r="AA173" i="3"/>
  <c r="S173" i="3"/>
  <c r="R173" i="3"/>
  <c r="CH172" i="3"/>
  <c r="CI172" i="3" s="1"/>
  <c r="CD172" i="3"/>
  <c r="CC172" i="3"/>
  <c r="CA172" i="3"/>
  <c r="CB172" i="3" s="1"/>
  <c r="BK172" i="3"/>
  <c r="BJ172" i="3"/>
  <c r="BH172" i="3"/>
  <c r="BI172" i="3" s="1"/>
  <c r="AZ172" i="3"/>
  <c r="AY172" i="3"/>
  <c r="AW172" i="3"/>
  <c r="AX172" i="3" s="1"/>
  <c r="AO172" i="3"/>
  <c r="AN172" i="3"/>
  <c r="AL172" i="3"/>
  <c r="AM172" i="3" s="1"/>
  <c r="AD172" i="3"/>
  <c r="AC172" i="3"/>
  <c r="AA172" i="3"/>
  <c r="S172" i="3"/>
  <c r="R172" i="3"/>
  <c r="CH171" i="3"/>
  <c r="CI171" i="3" s="1"/>
  <c r="CD171" i="3"/>
  <c r="CC171" i="3"/>
  <c r="CA171" i="3"/>
  <c r="CB171" i="3" s="1"/>
  <c r="BK171" i="3"/>
  <c r="BJ171" i="3"/>
  <c r="BH171" i="3"/>
  <c r="BI171" i="3" s="1"/>
  <c r="AZ171" i="3"/>
  <c r="AY171" i="3"/>
  <c r="AW171" i="3"/>
  <c r="AX171" i="3" s="1"/>
  <c r="AO171" i="3"/>
  <c r="AN171" i="3"/>
  <c r="AL171" i="3"/>
  <c r="AM171" i="3" s="1"/>
  <c r="AD171" i="3"/>
  <c r="AC171" i="3"/>
  <c r="AA171" i="3"/>
  <c r="S171" i="3"/>
  <c r="R171" i="3"/>
  <c r="CH170" i="3"/>
  <c r="CI170" i="3" s="1"/>
  <c r="CD170" i="3"/>
  <c r="CC170" i="3"/>
  <c r="CA170" i="3"/>
  <c r="CB170" i="3" s="1"/>
  <c r="BK170" i="3"/>
  <c r="BJ170" i="3"/>
  <c r="BH170" i="3"/>
  <c r="BI170" i="3" s="1"/>
  <c r="AZ170" i="3"/>
  <c r="AY170" i="3"/>
  <c r="AW170" i="3"/>
  <c r="AX170" i="3" s="1"/>
  <c r="AO170" i="3"/>
  <c r="AN170" i="3"/>
  <c r="AL170" i="3"/>
  <c r="AM170" i="3" s="1"/>
  <c r="AD170" i="3"/>
  <c r="AC170" i="3"/>
  <c r="AA170" i="3"/>
  <c r="S170" i="3"/>
  <c r="R170" i="3"/>
  <c r="CH169" i="3"/>
  <c r="CI169" i="3" s="1"/>
  <c r="CD169" i="3"/>
  <c r="CC169" i="3"/>
  <c r="CA169" i="3"/>
  <c r="CB169" i="3" s="1"/>
  <c r="BK169" i="3"/>
  <c r="BJ169" i="3"/>
  <c r="BH169" i="3"/>
  <c r="BI169" i="3" s="1"/>
  <c r="AZ169" i="3"/>
  <c r="AY169" i="3"/>
  <c r="AW169" i="3"/>
  <c r="AX169" i="3" s="1"/>
  <c r="AO169" i="3"/>
  <c r="AN169" i="3"/>
  <c r="AL169" i="3"/>
  <c r="AM169" i="3" s="1"/>
  <c r="AD169" i="3"/>
  <c r="AC169" i="3"/>
  <c r="AA169" i="3"/>
  <c r="S169" i="3"/>
  <c r="R169" i="3"/>
  <c r="CH168" i="3"/>
  <c r="CI168" i="3" s="1"/>
  <c r="CD168" i="3"/>
  <c r="CC168" i="3"/>
  <c r="CA168" i="3"/>
  <c r="CB168" i="3" s="1"/>
  <c r="BK168" i="3"/>
  <c r="BJ168" i="3"/>
  <c r="BH168" i="3"/>
  <c r="BI168" i="3" s="1"/>
  <c r="AZ168" i="3"/>
  <c r="AY168" i="3"/>
  <c r="AW168" i="3"/>
  <c r="AX168" i="3" s="1"/>
  <c r="AO168" i="3"/>
  <c r="AN168" i="3"/>
  <c r="AL168" i="3"/>
  <c r="AM168" i="3" s="1"/>
  <c r="AD168" i="3"/>
  <c r="AC168" i="3"/>
  <c r="AA168" i="3"/>
  <c r="S168" i="3"/>
  <c r="R168" i="3"/>
  <c r="CH167" i="3"/>
  <c r="CI167" i="3" s="1"/>
  <c r="CD167" i="3"/>
  <c r="CC167" i="3"/>
  <c r="CA167" i="3"/>
  <c r="CB167" i="3" s="1"/>
  <c r="BK167" i="3"/>
  <c r="BJ167" i="3"/>
  <c r="BH167" i="3"/>
  <c r="BI167" i="3" s="1"/>
  <c r="AZ167" i="3"/>
  <c r="AY167" i="3"/>
  <c r="AW167" i="3"/>
  <c r="AX167" i="3" s="1"/>
  <c r="AO167" i="3"/>
  <c r="AN167" i="3"/>
  <c r="AL167" i="3"/>
  <c r="AM167" i="3" s="1"/>
  <c r="AD167" i="3"/>
  <c r="AC167" i="3"/>
  <c r="AA167" i="3"/>
  <c r="S167" i="3"/>
  <c r="R167" i="3"/>
  <c r="CH166" i="3"/>
  <c r="CI166" i="3" s="1"/>
  <c r="CD166" i="3"/>
  <c r="CC166" i="3"/>
  <c r="CA166" i="3"/>
  <c r="CB166" i="3" s="1"/>
  <c r="BK166" i="3"/>
  <c r="BJ166" i="3"/>
  <c r="BH166" i="3"/>
  <c r="BI166" i="3" s="1"/>
  <c r="AZ166" i="3"/>
  <c r="AY166" i="3"/>
  <c r="AW166" i="3"/>
  <c r="AX166" i="3" s="1"/>
  <c r="AO166" i="3"/>
  <c r="AN166" i="3"/>
  <c r="AL166" i="3"/>
  <c r="AD166" i="3"/>
  <c r="AC166" i="3"/>
  <c r="AA166" i="3"/>
  <c r="S166" i="3"/>
  <c r="R166" i="3"/>
  <c r="CH165" i="3"/>
  <c r="CI165" i="3" s="1"/>
  <c r="CD165" i="3"/>
  <c r="CC165" i="3"/>
  <c r="CA165" i="3"/>
  <c r="CB165" i="3" s="1"/>
  <c r="BK165" i="3"/>
  <c r="BJ165" i="3"/>
  <c r="BH165" i="3"/>
  <c r="BI165" i="3" s="1"/>
  <c r="AZ165" i="3"/>
  <c r="AY165" i="3"/>
  <c r="AW165" i="3"/>
  <c r="AX165" i="3" s="1"/>
  <c r="AO165" i="3"/>
  <c r="AN165" i="3"/>
  <c r="AL165" i="3"/>
  <c r="AD165" i="3"/>
  <c r="AC165" i="3"/>
  <c r="AA165" i="3"/>
  <c r="S165" i="3"/>
  <c r="R165" i="3"/>
  <c r="CH164" i="3"/>
  <c r="CI164" i="3" s="1"/>
  <c r="CD164" i="3"/>
  <c r="CC164" i="3"/>
  <c r="CA164" i="3"/>
  <c r="CB164" i="3" s="1"/>
  <c r="BK164" i="3"/>
  <c r="BJ164" i="3"/>
  <c r="BH164" i="3"/>
  <c r="BI164" i="3" s="1"/>
  <c r="AZ164" i="3"/>
  <c r="AY164" i="3"/>
  <c r="AW164" i="3"/>
  <c r="AX164" i="3" s="1"/>
  <c r="AO164" i="3"/>
  <c r="AN164" i="3"/>
  <c r="AL164" i="3"/>
  <c r="AD164" i="3"/>
  <c r="AC164" i="3"/>
  <c r="AA164" i="3"/>
  <c r="S164" i="3"/>
  <c r="R164" i="3"/>
  <c r="CH163" i="3"/>
  <c r="CI163" i="3" s="1"/>
  <c r="CD163" i="3"/>
  <c r="CC163" i="3"/>
  <c r="CA163" i="3"/>
  <c r="CB163" i="3" s="1"/>
  <c r="BK163" i="3"/>
  <c r="BJ163" i="3"/>
  <c r="BH163" i="3"/>
  <c r="BI163" i="3" s="1"/>
  <c r="AZ163" i="3"/>
  <c r="AY163" i="3"/>
  <c r="AW163" i="3"/>
  <c r="AX163" i="3" s="1"/>
  <c r="AO163" i="3"/>
  <c r="AN163" i="3"/>
  <c r="AL163" i="3"/>
  <c r="AD163" i="3"/>
  <c r="AC163" i="3"/>
  <c r="AA163" i="3"/>
  <c r="S163" i="3"/>
  <c r="R163" i="3"/>
  <c r="CH162" i="3"/>
  <c r="CI162" i="3" s="1"/>
  <c r="CD162" i="3"/>
  <c r="CC162" i="3"/>
  <c r="CA162" i="3"/>
  <c r="CB162" i="3" s="1"/>
  <c r="BK162" i="3"/>
  <c r="BJ162" i="3"/>
  <c r="BH162" i="3"/>
  <c r="BI162" i="3" s="1"/>
  <c r="AZ162" i="3"/>
  <c r="AY162" i="3"/>
  <c r="AW162" i="3"/>
  <c r="AX162" i="3" s="1"/>
  <c r="AO162" i="3"/>
  <c r="AN162" i="3"/>
  <c r="AL162" i="3"/>
  <c r="AD162" i="3"/>
  <c r="AC162" i="3"/>
  <c r="AA162" i="3"/>
  <c r="S162" i="3"/>
  <c r="R162" i="3"/>
  <c r="CH161" i="3"/>
  <c r="CI161" i="3" s="1"/>
  <c r="CD161" i="3"/>
  <c r="CC161" i="3"/>
  <c r="CA161" i="3"/>
  <c r="CB161" i="3" s="1"/>
  <c r="BK161" i="3"/>
  <c r="BJ161" i="3"/>
  <c r="BH161" i="3"/>
  <c r="BI161" i="3" s="1"/>
  <c r="AZ161" i="3"/>
  <c r="AY161" i="3"/>
  <c r="AW161" i="3"/>
  <c r="AX161" i="3" s="1"/>
  <c r="AO161" i="3"/>
  <c r="AN161" i="3"/>
  <c r="AL161" i="3"/>
  <c r="AD161" i="3"/>
  <c r="AC161" i="3"/>
  <c r="AA161" i="3"/>
  <c r="S161" i="3"/>
  <c r="R161" i="3"/>
  <c r="CH160" i="3"/>
  <c r="CI160" i="3" s="1"/>
  <c r="CD160" i="3"/>
  <c r="CC160" i="3"/>
  <c r="CA160" i="3"/>
  <c r="CB160" i="3" s="1"/>
  <c r="BK160" i="3"/>
  <c r="BJ160" i="3"/>
  <c r="BH160" i="3"/>
  <c r="BI160" i="3" s="1"/>
  <c r="AZ160" i="3"/>
  <c r="AY160" i="3"/>
  <c r="AW160" i="3"/>
  <c r="AX160" i="3" s="1"/>
  <c r="AO160" i="3"/>
  <c r="AN160" i="3"/>
  <c r="AL160" i="3"/>
  <c r="AD160" i="3"/>
  <c r="AC160" i="3"/>
  <c r="AA160" i="3"/>
  <c r="S160" i="3"/>
  <c r="R160" i="3"/>
  <c r="CH159" i="3"/>
  <c r="CI159" i="3" s="1"/>
  <c r="CD159" i="3"/>
  <c r="CC159" i="3"/>
  <c r="CA159" i="3"/>
  <c r="CB159" i="3" s="1"/>
  <c r="BK159" i="3"/>
  <c r="BJ159" i="3"/>
  <c r="BH159" i="3"/>
  <c r="BI159" i="3" s="1"/>
  <c r="AZ159" i="3"/>
  <c r="AY159" i="3"/>
  <c r="AW159" i="3"/>
  <c r="AX159" i="3" s="1"/>
  <c r="AO159" i="3"/>
  <c r="AN159" i="3"/>
  <c r="AL159" i="3"/>
  <c r="AD159" i="3"/>
  <c r="AC159" i="3"/>
  <c r="AA159" i="3"/>
  <c r="S159" i="3"/>
  <c r="R159" i="3"/>
  <c r="CH158" i="3"/>
  <c r="CI158" i="3" s="1"/>
  <c r="CD158" i="3"/>
  <c r="CC158" i="3"/>
  <c r="CA158" i="3"/>
  <c r="CB158" i="3" s="1"/>
  <c r="BK158" i="3"/>
  <c r="BJ158" i="3"/>
  <c r="BH158" i="3"/>
  <c r="BI158" i="3" s="1"/>
  <c r="AZ158" i="3"/>
  <c r="AY158" i="3"/>
  <c r="AW158" i="3"/>
  <c r="AX158" i="3" s="1"/>
  <c r="AO158" i="3"/>
  <c r="AN158" i="3"/>
  <c r="AL158" i="3"/>
  <c r="AD158" i="3"/>
  <c r="AC158" i="3"/>
  <c r="AA158" i="3"/>
  <c r="S158" i="3"/>
  <c r="R158" i="3"/>
  <c r="CH157" i="3"/>
  <c r="CI157" i="3" s="1"/>
  <c r="CD157" i="3"/>
  <c r="CC157" i="3"/>
  <c r="CA157" i="3"/>
  <c r="CB157" i="3" s="1"/>
  <c r="BK157" i="3"/>
  <c r="BJ157" i="3"/>
  <c r="BH157" i="3"/>
  <c r="AZ157" i="3"/>
  <c r="AY157" i="3"/>
  <c r="AW157" i="3"/>
  <c r="AX157" i="3" s="1"/>
  <c r="AO157" i="3"/>
  <c r="AN157" i="3"/>
  <c r="AL157" i="3"/>
  <c r="AD157" i="3"/>
  <c r="AC157" i="3"/>
  <c r="AA157" i="3"/>
  <c r="S157" i="3"/>
  <c r="R157" i="3"/>
  <c r="CH156" i="3"/>
  <c r="CI156" i="3" s="1"/>
  <c r="CD156" i="3"/>
  <c r="CC156" i="3"/>
  <c r="CA156" i="3"/>
  <c r="CB156" i="3" s="1"/>
  <c r="BK156" i="3"/>
  <c r="BJ156" i="3"/>
  <c r="BH156" i="3"/>
  <c r="BI156" i="3" s="1"/>
  <c r="AZ156" i="3"/>
  <c r="AY156" i="3"/>
  <c r="AX156" i="3"/>
  <c r="AW156" i="3"/>
  <c r="AO156" i="3"/>
  <c r="AN156" i="3"/>
  <c r="AL156" i="3"/>
  <c r="AD156" i="3"/>
  <c r="AC156" i="3"/>
  <c r="AA156" i="3"/>
  <c r="S156" i="3"/>
  <c r="R156" i="3"/>
  <c r="CH155" i="3"/>
  <c r="CI155" i="3" s="1"/>
  <c r="CD155" i="3"/>
  <c r="CC155" i="3"/>
  <c r="CA155" i="3"/>
  <c r="CB155" i="3" s="1"/>
  <c r="BK155" i="3"/>
  <c r="BJ155" i="3"/>
  <c r="BH155" i="3"/>
  <c r="BI155" i="3" s="1"/>
  <c r="AZ155" i="3"/>
  <c r="AY155" i="3"/>
  <c r="AW155" i="3"/>
  <c r="AX155" i="3" s="1"/>
  <c r="AO155" i="3"/>
  <c r="AN155" i="3"/>
  <c r="AL155" i="3"/>
  <c r="AD155" i="3"/>
  <c r="AC155" i="3"/>
  <c r="AA155" i="3"/>
  <c r="S155" i="3"/>
  <c r="R155" i="3"/>
  <c r="CH154" i="3"/>
  <c r="CI154" i="3" s="1"/>
  <c r="CD154" i="3"/>
  <c r="CC154" i="3"/>
  <c r="CA154" i="3"/>
  <c r="CB154" i="3" s="1"/>
  <c r="BK154" i="3"/>
  <c r="BJ154" i="3"/>
  <c r="BH154" i="3"/>
  <c r="BI154" i="3" s="1"/>
  <c r="AZ154" i="3"/>
  <c r="AY154" i="3"/>
  <c r="AW154" i="3"/>
  <c r="AX154" i="3" s="1"/>
  <c r="AO154" i="3"/>
  <c r="AN154" i="3"/>
  <c r="AL154" i="3"/>
  <c r="AD154" i="3"/>
  <c r="AC154" i="3"/>
  <c r="AA154" i="3"/>
  <c r="S154" i="3"/>
  <c r="R154" i="3"/>
  <c r="CH153" i="3"/>
  <c r="CI153" i="3" s="1"/>
  <c r="CD153" i="3"/>
  <c r="CC153" i="3"/>
  <c r="CA153" i="3"/>
  <c r="CB153" i="3" s="1"/>
  <c r="BK153" i="3"/>
  <c r="BJ153" i="3"/>
  <c r="BH153" i="3"/>
  <c r="BI153" i="3" s="1"/>
  <c r="AZ153" i="3"/>
  <c r="AY153" i="3"/>
  <c r="AW153" i="3"/>
  <c r="AX153" i="3" s="1"/>
  <c r="AO153" i="3"/>
  <c r="AN153" i="3"/>
  <c r="AL153" i="3"/>
  <c r="AD153" i="3"/>
  <c r="AC153" i="3"/>
  <c r="AA153" i="3"/>
  <c r="S153" i="3"/>
  <c r="R153" i="3"/>
  <c r="CG149" i="3"/>
  <c r="CE149" i="3"/>
  <c r="CD149" i="3"/>
  <c r="BT149" i="3"/>
  <c r="BO149" i="3"/>
  <c r="BK149" i="3"/>
  <c r="BD149" i="3"/>
  <c r="BC149" i="3"/>
  <c r="BB149" i="3"/>
  <c r="BA149" i="3"/>
  <c r="AZ149" i="3"/>
  <c r="AY149" i="3"/>
  <c r="AS149" i="3"/>
  <c r="AR149" i="3"/>
  <c r="AQ149" i="3"/>
  <c r="AP149" i="3"/>
  <c r="AO149" i="3"/>
  <c r="AN149" i="3"/>
  <c r="AH149" i="3"/>
  <c r="AG149" i="3"/>
  <c r="AF149" i="3"/>
  <c r="AE149" i="3"/>
  <c r="AD149" i="3"/>
  <c r="AC149" i="3"/>
  <c r="W149" i="3"/>
  <c r="V149" i="3"/>
  <c r="U149" i="3"/>
  <c r="T149" i="3"/>
  <c r="S149" i="3"/>
  <c r="R149" i="3"/>
  <c r="CH143" i="3"/>
  <c r="CD143" i="3"/>
  <c r="CC143" i="3"/>
  <c r="CA143" i="3"/>
  <c r="BK143" i="3"/>
  <c r="BJ143" i="3"/>
  <c r="BH143" i="3"/>
  <c r="BI143" i="3" s="1"/>
  <c r="AZ143" i="3"/>
  <c r="AY143" i="3"/>
  <c r="AW143" i="3"/>
  <c r="AX143" i="3" s="1"/>
  <c r="AO143" i="3"/>
  <c r="AN143" i="3"/>
  <c r="AL143" i="3"/>
  <c r="AM143" i="3" s="1"/>
  <c r="AD143" i="3"/>
  <c r="AC143" i="3"/>
  <c r="AA143" i="3"/>
  <c r="AB143" i="3" s="1"/>
  <c r="S143" i="3"/>
  <c r="R143" i="3"/>
  <c r="CH142" i="3"/>
  <c r="CD142" i="3"/>
  <c r="CC142" i="3"/>
  <c r="CA142" i="3"/>
  <c r="BK142" i="3"/>
  <c r="BJ142" i="3"/>
  <c r="BH142" i="3"/>
  <c r="BI142" i="3" s="1"/>
  <c r="AZ142" i="3"/>
  <c r="AY142" i="3"/>
  <c r="AW142" i="3"/>
  <c r="AX142" i="3" s="1"/>
  <c r="AO142" i="3"/>
  <c r="AN142" i="3"/>
  <c r="AL142" i="3"/>
  <c r="AM142" i="3" s="1"/>
  <c r="AD142" i="3"/>
  <c r="AC142" i="3"/>
  <c r="AA142" i="3"/>
  <c r="AB142" i="3" s="1"/>
  <c r="S142" i="3"/>
  <c r="R142" i="3"/>
  <c r="CH141" i="3"/>
  <c r="CI141" i="3" s="1"/>
  <c r="CD141" i="3"/>
  <c r="CC141" i="3"/>
  <c r="CA141" i="3"/>
  <c r="CB141" i="3" s="1"/>
  <c r="BK141" i="3"/>
  <c r="BJ141" i="3"/>
  <c r="BH141" i="3"/>
  <c r="BI141" i="3" s="1"/>
  <c r="AZ141" i="3"/>
  <c r="AY141" i="3"/>
  <c r="AW141" i="3"/>
  <c r="AX141" i="3" s="1"/>
  <c r="AO141" i="3"/>
  <c r="AN141" i="3"/>
  <c r="AL141" i="3"/>
  <c r="AM141" i="3" s="1"/>
  <c r="AD141" i="3"/>
  <c r="AC141" i="3"/>
  <c r="AA141" i="3"/>
  <c r="AB141" i="3" s="1"/>
  <c r="S141" i="3"/>
  <c r="R141" i="3"/>
  <c r="CH140" i="3"/>
  <c r="CI140" i="3" s="1"/>
  <c r="CD140" i="3"/>
  <c r="CC140" i="3"/>
  <c r="CA140" i="3"/>
  <c r="CB140" i="3" s="1"/>
  <c r="BK140" i="3"/>
  <c r="BJ140" i="3"/>
  <c r="BH140" i="3"/>
  <c r="BI140" i="3" s="1"/>
  <c r="AZ140" i="3"/>
  <c r="AY140" i="3"/>
  <c r="AW140" i="3"/>
  <c r="AX140" i="3" s="1"/>
  <c r="AO140" i="3"/>
  <c r="AN140" i="3"/>
  <c r="AL140" i="3"/>
  <c r="AM140" i="3" s="1"/>
  <c r="AD140" i="3"/>
  <c r="AC140" i="3"/>
  <c r="AA140" i="3"/>
  <c r="AB140" i="3" s="1"/>
  <c r="S140" i="3"/>
  <c r="R140" i="3"/>
  <c r="CH139" i="3"/>
  <c r="CI139" i="3" s="1"/>
  <c r="CD139" i="3"/>
  <c r="CC139" i="3"/>
  <c r="CA139" i="3"/>
  <c r="CB139" i="3" s="1"/>
  <c r="BK139" i="3"/>
  <c r="BJ139" i="3"/>
  <c r="BH139" i="3"/>
  <c r="BI139" i="3" s="1"/>
  <c r="AZ139" i="3"/>
  <c r="AY139" i="3"/>
  <c r="AW139" i="3"/>
  <c r="AX139" i="3" s="1"/>
  <c r="AO139" i="3"/>
  <c r="AN139" i="3"/>
  <c r="AL139" i="3"/>
  <c r="AM139" i="3" s="1"/>
  <c r="AD139" i="3"/>
  <c r="AC139" i="3"/>
  <c r="AB139" i="3"/>
  <c r="AA139" i="3"/>
  <c r="S139" i="3"/>
  <c r="R139" i="3"/>
  <c r="CH138" i="3"/>
  <c r="CI138" i="3" s="1"/>
  <c r="CD138" i="3"/>
  <c r="CC138" i="3"/>
  <c r="CA138" i="3"/>
  <c r="CB138" i="3" s="1"/>
  <c r="BK138" i="3"/>
  <c r="BJ138" i="3"/>
  <c r="BH138" i="3"/>
  <c r="BI138" i="3" s="1"/>
  <c r="AZ138" i="3"/>
  <c r="AY138" i="3"/>
  <c r="AW138" i="3"/>
  <c r="AX138" i="3" s="1"/>
  <c r="AO138" i="3"/>
  <c r="AN138" i="3"/>
  <c r="AL138" i="3"/>
  <c r="AM138" i="3" s="1"/>
  <c r="AD138" i="3"/>
  <c r="AC138" i="3"/>
  <c r="AA138" i="3"/>
  <c r="AB138" i="3" s="1"/>
  <c r="S138" i="3"/>
  <c r="R138" i="3"/>
  <c r="CH137" i="3"/>
  <c r="CI137" i="3" s="1"/>
  <c r="CD137" i="3"/>
  <c r="CC137" i="3"/>
  <c r="CA137" i="3"/>
  <c r="CB137" i="3" s="1"/>
  <c r="BK137" i="3"/>
  <c r="BJ137" i="3"/>
  <c r="BH137" i="3"/>
  <c r="BI137" i="3" s="1"/>
  <c r="AZ137" i="3"/>
  <c r="AY137" i="3"/>
  <c r="AW137" i="3"/>
  <c r="AX137" i="3" s="1"/>
  <c r="AO137" i="3"/>
  <c r="AN137" i="3"/>
  <c r="AL137" i="3"/>
  <c r="AM137" i="3" s="1"/>
  <c r="AD137" i="3"/>
  <c r="AC137" i="3"/>
  <c r="AA137" i="3"/>
  <c r="AB137" i="3" s="1"/>
  <c r="S137" i="3"/>
  <c r="R137" i="3"/>
  <c r="CH136" i="3"/>
  <c r="CI136" i="3" s="1"/>
  <c r="CD136" i="3"/>
  <c r="CC136" i="3"/>
  <c r="CA136" i="3"/>
  <c r="CB136" i="3" s="1"/>
  <c r="BK136" i="3"/>
  <c r="BJ136" i="3"/>
  <c r="BH136" i="3"/>
  <c r="BI136" i="3" s="1"/>
  <c r="AZ136" i="3"/>
  <c r="AY136" i="3"/>
  <c r="AW136" i="3"/>
  <c r="AX136" i="3" s="1"/>
  <c r="AO136" i="3"/>
  <c r="AN136" i="3"/>
  <c r="AL136" i="3"/>
  <c r="AM136" i="3" s="1"/>
  <c r="AD136" i="3"/>
  <c r="AC136" i="3"/>
  <c r="AA136" i="3"/>
  <c r="S136" i="3"/>
  <c r="R136" i="3"/>
  <c r="CH135" i="3"/>
  <c r="CI135" i="3" s="1"/>
  <c r="CD135" i="3"/>
  <c r="CC135" i="3"/>
  <c r="CA135" i="3"/>
  <c r="CB135" i="3" s="1"/>
  <c r="BK135" i="3"/>
  <c r="BJ135" i="3"/>
  <c r="BH135" i="3"/>
  <c r="BI135" i="3" s="1"/>
  <c r="AZ135" i="3"/>
  <c r="AY135" i="3"/>
  <c r="AW135" i="3"/>
  <c r="AX135" i="3" s="1"/>
  <c r="AO135" i="3"/>
  <c r="AN135" i="3"/>
  <c r="AL135" i="3"/>
  <c r="AM135" i="3" s="1"/>
  <c r="AD135" i="3"/>
  <c r="AC135" i="3"/>
  <c r="AA135" i="3"/>
  <c r="S135" i="3"/>
  <c r="R135" i="3"/>
  <c r="CH134" i="3"/>
  <c r="CI134" i="3" s="1"/>
  <c r="CD134" i="3"/>
  <c r="CC134" i="3"/>
  <c r="CA134" i="3"/>
  <c r="CB134" i="3" s="1"/>
  <c r="BK134" i="3"/>
  <c r="BJ134" i="3"/>
  <c r="BH134" i="3"/>
  <c r="BI134" i="3" s="1"/>
  <c r="AZ134" i="3"/>
  <c r="AY134" i="3"/>
  <c r="AW134" i="3"/>
  <c r="AX134" i="3" s="1"/>
  <c r="AO134" i="3"/>
  <c r="AN134" i="3"/>
  <c r="AL134" i="3"/>
  <c r="AM134" i="3" s="1"/>
  <c r="AD134" i="3"/>
  <c r="AC134" i="3"/>
  <c r="AA134" i="3"/>
  <c r="S134" i="3"/>
  <c r="R134" i="3"/>
  <c r="CH133" i="3"/>
  <c r="CI133" i="3" s="1"/>
  <c r="CD133" i="3"/>
  <c r="CC133" i="3"/>
  <c r="CA133" i="3"/>
  <c r="CB133" i="3" s="1"/>
  <c r="BK133" i="3"/>
  <c r="BJ133" i="3"/>
  <c r="BH133" i="3"/>
  <c r="BI133" i="3" s="1"/>
  <c r="AZ133" i="3"/>
  <c r="AY133" i="3"/>
  <c r="AW133" i="3"/>
  <c r="AX133" i="3" s="1"/>
  <c r="AO133" i="3"/>
  <c r="AN133" i="3"/>
  <c r="AL133" i="3"/>
  <c r="AM133" i="3" s="1"/>
  <c r="AD133" i="3"/>
  <c r="AC133" i="3"/>
  <c r="AA133" i="3"/>
  <c r="S133" i="3"/>
  <c r="R133" i="3"/>
  <c r="CH132" i="3"/>
  <c r="CI132" i="3" s="1"/>
  <c r="CD132" i="3"/>
  <c r="CC132" i="3"/>
  <c r="CA132" i="3"/>
  <c r="CB132" i="3" s="1"/>
  <c r="BK132" i="3"/>
  <c r="BJ132" i="3"/>
  <c r="BH132" i="3"/>
  <c r="BI132" i="3" s="1"/>
  <c r="AZ132" i="3"/>
  <c r="AY132" i="3"/>
  <c r="AW132" i="3"/>
  <c r="AX132" i="3" s="1"/>
  <c r="AO132" i="3"/>
  <c r="AN132" i="3"/>
  <c r="AL132" i="3"/>
  <c r="AM132" i="3" s="1"/>
  <c r="AD132" i="3"/>
  <c r="AC132" i="3"/>
  <c r="AA132" i="3"/>
  <c r="S132" i="3"/>
  <c r="R132" i="3"/>
  <c r="CH131" i="3"/>
  <c r="CI131" i="3" s="1"/>
  <c r="CD131" i="3"/>
  <c r="CC131" i="3"/>
  <c r="CA131" i="3"/>
  <c r="CB131" i="3" s="1"/>
  <c r="BK131" i="3"/>
  <c r="BJ131" i="3"/>
  <c r="BH131" i="3"/>
  <c r="BI131" i="3" s="1"/>
  <c r="AZ131" i="3"/>
  <c r="AY131" i="3"/>
  <c r="AW131" i="3"/>
  <c r="AX131" i="3" s="1"/>
  <c r="AO131" i="3"/>
  <c r="AN131" i="3"/>
  <c r="AL131" i="3"/>
  <c r="AM131" i="3" s="1"/>
  <c r="AD131" i="3"/>
  <c r="AC131" i="3"/>
  <c r="AA131" i="3"/>
  <c r="S131" i="3"/>
  <c r="R131" i="3"/>
  <c r="CH130" i="3"/>
  <c r="CI130" i="3" s="1"/>
  <c r="CD130" i="3"/>
  <c r="CC130" i="3"/>
  <c r="CA130" i="3"/>
  <c r="CB130" i="3" s="1"/>
  <c r="BK130" i="3"/>
  <c r="BJ130" i="3"/>
  <c r="BH130" i="3"/>
  <c r="BI130" i="3" s="1"/>
  <c r="AZ130" i="3"/>
  <c r="AY130" i="3"/>
  <c r="AW130" i="3"/>
  <c r="AX130" i="3" s="1"/>
  <c r="AO130" i="3"/>
  <c r="AN130" i="3"/>
  <c r="AL130" i="3"/>
  <c r="AM130" i="3" s="1"/>
  <c r="AD130" i="3"/>
  <c r="AC130" i="3"/>
  <c r="AA130" i="3"/>
  <c r="S130" i="3"/>
  <c r="R130" i="3"/>
  <c r="CH129" i="3"/>
  <c r="CI129" i="3" s="1"/>
  <c r="CD129" i="3"/>
  <c r="CC129" i="3"/>
  <c r="CA129" i="3"/>
  <c r="CB129" i="3" s="1"/>
  <c r="BK129" i="3"/>
  <c r="BJ129" i="3"/>
  <c r="BH129" i="3"/>
  <c r="BI129" i="3" s="1"/>
  <c r="AZ129" i="3"/>
  <c r="AY129" i="3"/>
  <c r="AW129" i="3"/>
  <c r="AX129" i="3" s="1"/>
  <c r="AO129" i="3"/>
  <c r="AN129" i="3"/>
  <c r="AL129" i="3"/>
  <c r="AM129" i="3" s="1"/>
  <c r="AD129" i="3"/>
  <c r="AC129" i="3"/>
  <c r="AA129" i="3"/>
  <c r="S129" i="3"/>
  <c r="R129" i="3"/>
  <c r="CH128" i="3"/>
  <c r="CI128" i="3" s="1"/>
  <c r="CD128" i="3"/>
  <c r="CC128" i="3"/>
  <c r="CA128" i="3"/>
  <c r="CB128" i="3" s="1"/>
  <c r="BK128" i="3"/>
  <c r="BJ128" i="3"/>
  <c r="BH128" i="3"/>
  <c r="BI128" i="3" s="1"/>
  <c r="AZ128" i="3"/>
  <c r="AY128" i="3"/>
  <c r="AW128" i="3"/>
  <c r="AX128" i="3" s="1"/>
  <c r="AO128" i="3"/>
  <c r="AN128" i="3"/>
  <c r="AL128" i="3"/>
  <c r="AM128" i="3" s="1"/>
  <c r="AD128" i="3"/>
  <c r="AC128" i="3"/>
  <c r="AA128" i="3"/>
  <c r="S128" i="3"/>
  <c r="R128" i="3"/>
  <c r="CH127" i="3"/>
  <c r="CI127" i="3" s="1"/>
  <c r="CD127" i="3"/>
  <c r="CC127" i="3"/>
  <c r="CA127" i="3"/>
  <c r="CB127" i="3" s="1"/>
  <c r="BK127" i="3"/>
  <c r="BJ127" i="3"/>
  <c r="BH127" i="3"/>
  <c r="BI127" i="3" s="1"/>
  <c r="AZ127" i="3"/>
  <c r="AY127" i="3"/>
  <c r="AW127" i="3"/>
  <c r="AX127" i="3" s="1"/>
  <c r="AO127" i="3"/>
  <c r="AN127" i="3"/>
  <c r="AL127" i="3"/>
  <c r="AM127" i="3" s="1"/>
  <c r="AD127" i="3"/>
  <c r="AC127" i="3"/>
  <c r="AA127" i="3"/>
  <c r="S127" i="3"/>
  <c r="R127" i="3"/>
  <c r="CH126" i="3"/>
  <c r="CI126" i="3" s="1"/>
  <c r="CD126" i="3"/>
  <c r="CC126" i="3"/>
  <c r="CA126" i="3"/>
  <c r="CB126" i="3" s="1"/>
  <c r="BK126" i="3"/>
  <c r="BJ126" i="3"/>
  <c r="BH126" i="3"/>
  <c r="BI126" i="3" s="1"/>
  <c r="AZ126" i="3"/>
  <c r="AY126" i="3"/>
  <c r="AW126" i="3"/>
  <c r="AX126" i="3" s="1"/>
  <c r="AO126" i="3"/>
  <c r="AN126" i="3"/>
  <c r="AL126" i="3"/>
  <c r="AM126" i="3" s="1"/>
  <c r="AD126" i="3"/>
  <c r="AC126" i="3"/>
  <c r="AA126" i="3"/>
  <c r="S126" i="3"/>
  <c r="R126" i="3"/>
  <c r="CH125" i="3"/>
  <c r="CI125" i="3" s="1"/>
  <c r="CD125" i="3"/>
  <c r="CC125" i="3"/>
  <c r="CA125" i="3"/>
  <c r="CB125" i="3" s="1"/>
  <c r="BK125" i="3"/>
  <c r="BJ125" i="3"/>
  <c r="BH125" i="3"/>
  <c r="BI125" i="3" s="1"/>
  <c r="AZ125" i="3"/>
  <c r="AY125" i="3"/>
  <c r="AW125" i="3"/>
  <c r="AX125" i="3" s="1"/>
  <c r="AO125" i="3"/>
  <c r="AN125" i="3"/>
  <c r="AL125" i="3"/>
  <c r="AM125" i="3" s="1"/>
  <c r="AD125" i="3"/>
  <c r="AC125" i="3"/>
  <c r="AA125" i="3"/>
  <c r="S125" i="3"/>
  <c r="R125" i="3"/>
  <c r="CH124" i="3"/>
  <c r="CI124" i="3" s="1"/>
  <c r="CD124" i="3"/>
  <c r="CC124" i="3"/>
  <c r="CA124" i="3"/>
  <c r="CB124" i="3" s="1"/>
  <c r="BK124" i="3"/>
  <c r="BJ124" i="3"/>
  <c r="BH124" i="3"/>
  <c r="BI124" i="3" s="1"/>
  <c r="AZ124" i="3"/>
  <c r="AY124" i="3"/>
  <c r="AW124" i="3"/>
  <c r="AX124" i="3" s="1"/>
  <c r="AO124" i="3"/>
  <c r="AN124" i="3"/>
  <c r="AL124" i="3"/>
  <c r="AM124" i="3" s="1"/>
  <c r="AD124" i="3"/>
  <c r="AC124" i="3"/>
  <c r="AA124" i="3"/>
  <c r="S124" i="3"/>
  <c r="R124" i="3"/>
  <c r="CH123" i="3"/>
  <c r="CI123" i="3" s="1"/>
  <c r="CD123" i="3"/>
  <c r="CC123" i="3"/>
  <c r="CA123" i="3"/>
  <c r="CB123" i="3" s="1"/>
  <c r="BK123" i="3"/>
  <c r="BJ123" i="3"/>
  <c r="BH123" i="3"/>
  <c r="BI123" i="3" s="1"/>
  <c r="AZ123" i="3"/>
  <c r="AY123" i="3"/>
  <c r="AW123" i="3"/>
  <c r="AX123" i="3" s="1"/>
  <c r="AO123" i="3"/>
  <c r="AN123" i="3"/>
  <c r="AL123" i="3"/>
  <c r="AM123" i="3" s="1"/>
  <c r="AD123" i="3"/>
  <c r="AC123" i="3"/>
  <c r="AA123" i="3"/>
  <c r="S123" i="3"/>
  <c r="R123" i="3"/>
  <c r="CH122" i="3"/>
  <c r="CI122" i="3" s="1"/>
  <c r="CD122" i="3"/>
  <c r="CC122" i="3"/>
  <c r="CA122" i="3"/>
  <c r="CB122" i="3" s="1"/>
  <c r="BK122" i="3"/>
  <c r="BJ122" i="3"/>
  <c r="BH122" i="3"/>
  <c r="BI122" i="3" s="1"/>
  <c r="AZ122" i="3"/>
  <c r="AY122" i="3"/>
  <c r="AW122" i="3"/>
  <c r="AX122" i="3" s="1"/>
  <c r="AO122" i="3"/>
  <c r="AN122" i="3"/>
  <c r="AL122" i="3"/>
  <c r="AM122" i="3" s="1"/>
  <c r="AD122" i="3"/>
  <c r="AC122" i="3"/>
  <c r="AA122" i="3"/>
  <c r="S122" i="3"/>
  <c r="R122" i="3"/>
  <c r="CH121" i="3"/>
  <c r="CI121" i="3" s="1"/>
  <c r="CD121" i="3"/>
  <c r="CC121" i="3"/>
  <c r="CA121" i="3"/>
  <c r="CB121" i="3" s="1"/>
  <c r="BK121" i="3"/>
  <c r="BJ121" i="3"/>
  <c r="BH121" i="3"/>
  <c r="BI121" i="3" s="1"/>
  <c r="AZ121" i="3"/>
  <c r="AY121" i="3"/>
  <c r="AW121" i="3"/>
  <c r="AX121" i="3" s="1"/>
  <c r="AO121" i="3"/>
  <c r="AN121" i="3"/>
  <c r="AL121" i="3"/>
  <c r="AM121" i="3" s="1"/>
  <c r="AD121" i="3"/>
  <c r="AC121" i="3"/>
  <c r="AA121" i="3"/>
  <c r="S121" i="3"/>
  <c r="R121" i="3"/>
  <c r="CH120" i="3"/>
  <c r="CI120" i="3" s="1"/>
  <c r="CD120" i="3"/>
  <c r="CC120" i="3"/>
  <c r="CA120" i="3"/>
  <c r="CB120" i="3" s="1"/>
  <c r="BK120" i="3"/>
  <c r="BJ120" i="3"/>
  <c r="BH120" i="3"/>
  <c r="BI120" i="3" s="1"/>
  <c r="AZ120" i="3"/>
  <c r="AY120" i="3"/>
  <c r="AW120" i="3"/>
  <c r="AX120" i="3" s="1"/>
  <c r="AO120" i="3"/>
  <c r="AN120" i="3"/>
  <c r="AL120" i="3"/>
  <c r="AM120" i="3" s="1"/>
  <c r="AD120" i="3"/>
  <c r="AC120" i="3"/>
  <c r="AA120" i="3"/>
  <c r="S120" i="3"/>
  <c r="R120" i="3"/>
  <c r="CH119" i="3"/>
  <c r="CI119" i="3" s="1"/>
  <c r="CD119" i="3"/>
  <c r="CC119" i="3"/>
  <c r="CA119" i="3"/>
  <c r="CB119" i="3" s="1"/>
  <c r="BK119" i="3"/>
  <c r="BJ119" i="3"/>
  <c r="BH119" i="3"/>
  <c r="BI119" i="3" s="1"/>
  <c r="AZ119" i="3"/>
  <c r="AY119" i="3"/>
  <c r="AW119" i="3"/>
  <c r="AX119" i="3" s="1"/>
  <c r="AO119" i="3"/>
  <c r="AN119" i="3"/>
  <c r="AL119" i="3"/>
  <c r="AM119" i="3" s="1"/>
  <c r="AD119" i="3"/>
  <c r="AC119" i="3"/>
  <c r="AA119" i="3"/>
  <c r="S119" i="3"/>
  <c r="R119" i="3"/>
  <c r="CH118" i="3"/>
  <c r="CI118" i="3" s="1"/>
  <c r="CD118" i="3"/>
  <c r="CC118" i="3"/>
  <c r="CA118" i="3"/>
  <c r="CB118" i="3" s="1"/>
  <c r="BK118" i="3"/>
  <c r="BJ118" i="3"/>
  <c r="BH118" i="3"/>
  <c r="BI118" i="3" s="1"/>
  <c r="AZ118" i="3"/>
  <c r="AY118" i="3"/>
  <c r="AW118" i="3"/>
  <c r="AX118" i="3" s="1"/>
  <c r="AO118" i="3"/>
  <c r="AN118" i="3"/>
  <c r="AL118" i="3"/>
  <c r="AM118" i="3" s="1"/>
  <c r="AD118" i="3"/>
  <c r="AC118" i="3"/>
  <c r="AA118" i="3"/>
  <c r="S118" i="3"/>
  <c r="R118" i="3"/>
  <c r="CH117" i="3"/>
  <c r="CI117" i="3" s="1"/>
  <c r="CD117" i="3"/>
  <c r="CC117" i="3"/>
  <c r="CA117" i="3"/>
  <c r="CB117" i="3" s="1"/>
  <c r="BK117" i="3"/>
  <c r="BJ117" i="3"/>
  <c r="BH117" i="3"/>
  <c r="BI117" i="3" s="1"/>
  <c r="AZ117" i="3"/>
  <c r="AY117" i="3"/>
  <c r="AW117" i="3"/>
  <c r="AX117" i="3" s="1"/>
  <c r="AO117" i="3"/>
  <c r="AN117" i="3"/>
  <c r="AL117" i="3"/>
  <c r="AD117" i="3"/>
  <c r="AC117" i="3"/>
  <c r="AA117" i="3"/>
  <c r="S117" i="3"/>
  <c r="R117" i="3"/>
  <c r="CH116" i="3"/>
  <c r="CI116" i="3" s="1"/>
  <c r="CD116" i="3"/>
  <c r="CC116" i="3"/>
  <c r="CA116" i="3"/>
  <c r="CB116" i="3" s="1"/>
  <c r="BK116" i="3"/>
  <c r="BJ116" i="3"/>
  <c r="BH116" i="3"/>
  <c r="BI116" i="3" s="1"/>
  <c r="AZ116" i="3"/>
  <c r="AY116" i="3"/>
  <c r="AW116" i="3"/>
  <c r="AX116" i="3" s="1"/>
  <c r="AO116" i="3"/>
  <c r="AN116" i="3"/>
  <c r="AL116" i="3"/>
  <c r="AD116" i="3"/>
  <c r="AC116" i="3"/>
  <c r="AA116" i="3"/>
  <c r="S116" i="3"/>
  <c r="R116" i="3"/>
  <c r="CH115" i="3"/>
  <c r="CI115" i="3" s="1"/>
  <c r="CD115" i="3"/>
  <c r="CC115" i="3"/>
  <c r="CA115" i="3"/>
  <c r="CB115" i="3" s="1"/>
  <c r="BK115" i="3"/>
  <c r="BJ115" i="3"/>
  <c r="BH115" i="3"/>
  <c r="BI115" i="3" s="1"/>
  <c r="AZ115" i="3"/>
  <c r="AY115" i="3"/>
  <c r="AW115" i="3"/>
  <c r="AX115" i="3" s="1"/>
  <c r="AO115" i="3"/>
  <c r="AN115" i="3"/>
  <c r="AL115" i="3"/>
  <c r="AD115" i="3"/>
  <c r="AC115" i="3"/>
  <c r="AA115" i="3"/>
  <c r="S115" i="3"/>
  <c r="R115" i="3"/>
  <c r="CH114" i="3"/>
  <c r="CI114" i="3" s="1"/>
  <c r="CD114" i="3"/>
  <c r="CC114" i="3"/>
  <c r="CA114" i="3"/>
  <c r="CB114" i="3" s="1"/>
  <c r="BK114" i="3"/>
  <c r="BJ114" i="3"/>
  <c r="BH114" i="3"/>
  <c r="BI114" i="3" s="1"/>
  <c r="AZ114" i="3"/>
  <c r="AY114" i="3"/>
  <c r="AW114" i="3"/>
  <c r="AX114" i="3" s="1"/>
  <c r="AO114" i="3"/>
  <c r="AN114" i="3"/>
  <c r="AL114" i="3"/>
  <c r="AD114" i="3"/>
  <c r="AC114" i="3"/>
  <c r="AA114" i="3"/>
  <c r="S114" i="3"/>
  <c r="R114" i="3"/>
  <c r="CH113" i="3"/>
  <c r="CI113" i="3" s="1"/>
  <c r="CD113" i="3"/>
  <c r="CC113" i="3"/>
  <c r="CA113" i="3"/>
  <c r="CB113" i="3" s="1"/>
  <c r="BK113" i="3"/>
  <c r="BJ113" i="3"/>
  <c r="BH113" i="3"/>
  <c r="BI113" i="3" s="1"/>
  <c r="AZ113" i="3"/>
  <c r="AY113" i="3"/>
  <c r="AW113" i="3"/>
  <c r="AX113" i="3" s="1"/>
  <c r="AO113" i="3"/>
  <c r="AN113" i="3"/>
  <c r="AL113" i="3"/>
  <c r="AD113" i="3"/>
  <c r="AC113" i="3"/>
  <c r="AA113" i="3"/>
  <c r="S113" i="3"/>
  <c r="R113" i="3"/>
  <c r="CH112" i="3"/>
  <c r="CI112" i="3" s="1"/>
  <c r="CD112" i="3"/>
  <c r="CC112" i="3"/>
  <c r="CA112" i="3"/>
  <c r="CB112" i="3" s="1"/>
  <c r="BK112" i="3"/>
  <c r="BJ112" i="3"/>
  <c r="BH112" i="3"/>
  <c r="BI112" i="3" s="1"/>
  <c r="AZ112" i="3"/>
  <c r="AY112" i="3"/>
  <c r="AW112" i="3"/>
  <c r="AX112" i="3" s="1"/>
  <c r="AO112" i="3"/>
  <c r="AN112" i="3"/>
  <c r="AL112" i="3"/>
  <c r="AD112" i="3"/>
  <c r="AC112" i="3"/>
  <c r="AA112" i="3"/>
  <c r="S112" i="3"/>
  <c r="R112" i="3"/>
  <c r="CI111" i="3"/>
  <c r="CH111" i="3"/>
  <c r="CD111" i="3"/>
  <c r="CC111" i="3"/>
  <c r="CA111" i="3"/>
  <c r="CB111" i="3" s="1"/>
  <c r="BK111" i="3"/>
  <c r="BJ111" i="3"/>
  <c r="BH111" i="3"/>
  <c r="BI111" i="3" s="1"/>
  <c r="AZ111" i="3"/>
  <c r="AY111" i="3"/>
  <c r="AW111" i="3"/>
  <c r="AX111" i="3" s="1"/>
  <c r="AO111" i="3"/>
  <c r="AN111" i="3"/>
  <c r="AL111" i="3"/>
  <c r="AD111" i="3"/>
  <c r="AC111" i="3"/>
  <c r="AA111" i="3"/>
  <c r="S111" i="3"/>
  <c r="R111" i="3"/>
  <c r="CH110" i="3"/>
  <c r="CI110" i="3" s="1"/>
  <c r="CD110" i="3"/>
  <c r="CC110" i="3"/>
  <c r="CA110" i="3"/>
  <c r="CB110" i="3" s="1"/>
  <c r="BK110" i="3"/>
  <c r="BJ110" i="3"/>
  <c r="BH110" i="3"/>
  <c r="BI110" i="3" s="1"/>
  <c r="AZ110" i="3"/>
  <c r="AY110" i="3"/>
  <c r="AW110" i="3"/>
  <c r="AX110" i="3" s="1"/>
  <c r="AO110" i="3"/>
  <c r="AN110" i="3"/>
  <c r="AL110" i="3"/>
  <c r="AD110" i="3"/>
  <c r="AC110" i="3"/>
  <c r="AA110" i="3"/>
  <c r="S110" i="3"/>
  <c r="R110" i="3"/>
  <c r="CH109" i="3"/>
  <c r="CI109" i="3" s="1"/>
  <c r="CD109" i="3"/>
  <c r="CC109" i="3"/>
  <c r="CA109" i="3"/>
  <c r="CB109" i="3" s="1"/>
  <c r="BK109" i="3"/>
  <c r="BJ109" i="3"/>
  <c r="BH109" i="3"/>
  <c r="BI109" i="3" s="1"/>
  <c r="AZ109" i="3"/>
  <c r="AY109" i="3"/>
  <c r="AW109" i="3"/>
  <c r="AX109" i="3" s="1"/>
  <c r="AO109" i="3"/>
  <c r="AN109" i="3"/>
  <c r="AL109" i="3"/>
  <c r="AD109" i="3"/>
  <c r="AC109" i="3"/>
  <c r="AA109" i="3"/>
  <c r="S109" i="3"/>
  <c r="R109" i="3"/>
  <c r="CH108" i="3"/>
  <c r="CI108" i="3" s="1"/>
  <c r="CD108" i="3"/>
  <c r="CC108" i="3"/>
  <c r="CA108" i="3"/>
  <c r="CB108" i="3" s="1"/>
  <c r="BK108" i="3"/>
  <c r="BJ108" i="3"/>
  <c r="BH108" i="3"/>
  <c r="BI108" i="3" s="1"/>
  <c r="AZ108" i="3"/>
  <c r="AY108" i="3"/>
  <c r="AW108" i="3"/>
  <c r="AX108" i="3" s="1"/>
  <c r="AO108" i="3"/>
  <c r="AN108" i="3"/>
  <c r="AL108" i="3"/>
  <c r="AD108" i="3"/>
  <c r="AC108" i="3"/>
  <c r="AA108" i="3"/>
  <c r="S108" i="3"/>
  <c r="R108" i="3"/>
  <c r="CH107" i="3"/>
  <c r="CI107" i="3" s="1"/>
  <c r="CD107" i="3"/>
  <c r="CC107" i="3"/>
  <c r="CA107" i="3"/>
  <c r="CB107" i="3" s="1"/>
  <c r="BK107" i="3"/>
  <c r="BJ107" i="3"/>
  <c r="BH107" i="3"/>
  <c r="BI107" i="3" s="1"/>
  <c r="AZ107" i="3"/>
  <c r="AY107" i="3"/>
  <c r="AW107" i="3"/>
  <c r="AX107" i="3" s="1"/>
  <c r="AO107" i="3"/>
  <c r="AN107" i="3"/>
  <c r="AL107" i="3"/>
  <c r="AD107" i="3"/>
  <c r="AC107" i="3"/>
  <c r="AA107" i="3"/>
  <c r="S107" i="3"/>
  <c r="R107" i="3"/>
  <c r="CH106" i="3"/>
  <c r="CI106" i="3" s="1"/>
  <c r="CD106" i="3"/>
  <c r="CC106" i="3"/>
  <c r="CA106" i="3"/>
  <c r="CB106" i="3" s="1"/>
  <c r="BK106" i="3"/>
  <c r="BJ106" i="3"/>
  <c r="BH106" i="3"/>
  <c r="BI106" i="3" s="1"/>
  <c r="AZ106" i="3"/>
  <c r="AY106" i="3"/>
  <c r="AW106" i="3"/>
  <c r="AX106" i="3" s="1"/>
  <c r="AO106" i="3"/>
  <c r="AN106" i="3"/>
  <c r="AL106" i="3"/>
  <c r="AD106" i="3"/>
  <c r="AC106" i="3"/>
  <c r="AA106" i="3"/>
  <c r="S106" i="3"/>
  <c r="R106" i="3"/>
  <c r="CH105" i="3"/>
  <c r="CI105" i="3" s="1"/>
  <c r="CD105" i="3"/>
  <c r="CC105" i="3"/>
  <c r="CA105" i="3"/>
  <c r="CB105" i="3" s="1"/>
  <c r="BK105" i="3"/>
  <c r="BJ105" i="3"/>
  <c r="BH105" i="3"/>
  <c r="BI105" i="3" s="1"/>
  <c r="AZ105" i="3"/>
  <c r="AY105" i="3"/>
  <c r="AW105" i="3"/>
  <c r="AX105" i="3" s="1"/>
  <c r="AO105" i="3"/>
  <c r="AN105" i="3"/>
  <c r="AL105" i="3"/>
  <c r="AD105" i="3"/>
  <c r="AC105" i="3"/>
  <c r="AA105" i="3"/>
  <c r="S105" i="3"/>
  <c r="R105" i="3"/>
  <c r="CH104" i="3"/>
  <c r="CI104" i="3" s="1"/>
  <c r="CD104" i="3"/>
  <c r="CC104" i="3"/>
  <c r="CA104" i="3"/>
  <c r="CB104" i="3" s="1"/>
  <c r="BK104" i="3"/>
  <c r="BJ104" i="3"/>
  <c r="BH104" i="3"/>
  <c r="BI104" i="3" s="1"/>
  <c r="AZ104" i="3"/>
  <c r="AY104" i="3"/>
  <c r="AW104" i="3"/>
  <c r="AO104" i="3"/>
  <c r="AN104" i="3"/>
  <c r="AL104" i="3"/>
  <c r="AD104" i="3"/>
  <c r="AC104" i="3"/>
  <c r="AA104" i="3"/>
  <c r="S104" i="3"/>
  <c r="R104" i="3"/>
  <c r="CG100" i="3"/>
  <c r="CE100" i="3"/>
  <c r="CD100" i="3"/>
  <c r="BT100" i="3"/>
  <c r="BO100" i="3"/>
  <c r="BK100" i="3"/>
  <c r="BD100" i="3"/>
  <c r="BC100" i="3"/>
  <c r="BB100" i="3"/>
  <c r="BA100" i="3"/>
  <c r="AZ100" i="3"/>
  <c r="AY100" i="3"/>
  <c r="AS100" i="3"/>
  <c r="AR100" i="3"/>
  <c r="AQ100" i="3"/>
  <c r="AP100" i="3"/>
  <c r="AO100" i="3"/>
  <c r="AN100" i="3"/>
  <c r="AH100" i="3"/>
  <c r="AG100" i="3"/>
  <c r="AF100" i="3"/>
  <c r="AE100" i="3"/>
  <c r="AD100" i="3"/>
  <c r="AC100" i="3"/>
  <c r="W100" i="3"/>
  <c r="V100" i="3"/>
  <c r="U100" i="3"/>
  <c r="T100" i="3"/>
  <c r="S100" i="3"/>
  <c r="R100" i="3"/>
  <c r="CH45" i="3"/>
  <c r="CD45" i="3"/>
  <c r="CC45" i="3"/>
  <c r="CA45" i="3"/>
  <c r="BK45" i="3"/>
  <c r="BJ45" i="3"/>
  <c r="BH45" i="3"/>
  <c r="BI45" i="3" s="1"/>
  <c r="AZ45" i="3"/>
  <c r="AY45" i="3"/>
  <c r="AW45" i="3"/>
  <c r="AX45" i="3" s="1"/>
  <c r="AO45" i="3"/>
  <c r="AN45" i="3"/>
  <c r="AL45" i="3"/>
  <c r="AM45" i="3" s="1"/>
  <c r="AD45" i="3"/>
  <c r="AC45" i="3"/>
  <c r="AA45" i="3"/>
  <c r="AB45" i="3" s="1"/>
  <c r="S45" i="3"/>
  <c r="R45" i="3"/>
  <c r="CH44" i="3"/>
  <c r="CD44" i="3"/>
  <c r="CC44" i="3"/>
  <c r="CA44" i="3"/>
  <c r="BK44" i="3"/>
  <c r="BJ44" i="3"/>
  <c r="BH44" i="3"/>
  <c r="BI44" i="3" s="1"/>
  <c r="AZ44" i="3"/>
  <c r="AY44" i="3"/>
  <c r="AW44" i="3"/>
  <c r="AX44" i="3" s="1"/>
  <c r="AO44" i="3"/>
  <c r="AN44" i="3"/>
  <c r="AL44" i="3"/>
  <c r="AM44" i="3" s="1"/>
  <c r="AD44" i="3"/>
  <c r="AC44" i="3"/>
  <c r="AA44" i="3"/>
  <c r="AB44" i="3" s="1"/>
  <c r="S44" i="3"/>
  <c r="R44" i="3"/>
  <c r="CH43" i="3"/>
  <c r="CI43" i="3" s="1"/>
  <c r="CD43" i="3"/>
  <c r="CC43" i="3"/>
  <c r="CA43" i="3"/>
  <c r="CB43" i="3" s="1"/>
  <c r="BK43" i="3"/>
  <c r="BJ43" i="3"/>
  <c r="BH43" i="3"/>
  <c r="BI43" i="3" s="1"/>
  <c r="AZ43" i="3"/>
  <c r="AY43" i="3"/>
  <c r="AW43" i="3"/>
  <c r="AX43" i="3" s="1"/>
  <c r="AO43" i="3"/>
  <c r="AN43" i="3"/>
  <c r="AL43" i="3"/>
  <c r="AM43" i="3" s="1"/>
  <c r="AD43" i="3"/>
  <c r="AC43" i="3"/>
  <c r="AA43" i="3"/>
  <c r="AB43" i="3" s="1"/>
  <c r="S43" i="3"/>
  <c r="R43" i="3"/>
  <c r="CH42" i="3"/>
  <c r="CI42" i="3" s="1"/>
  <c r="CD42" i="3"/>
  <c r="CC42" i="3"/>
  <c r="CA42" i="3"/>
  <c r="CB42" i="3" s="1"/>
  <c r="BK42" i="3"/>
  <c r="BJ42" i="3"/>
  <c r="BH42" i="3"/>
  <c r="BI42" i="3" s="1"/>
  <c r="AZ42" i="3"/>
  <c r="AY42" i="3"/>
  <c r="AW42" i="3"/>
  <c r="AX42" i="3" s="1"/>
  <c r="AO42" i="3"/>
  <c r="AN42" i="3"/>
  <c r="AL42" i="3"/>
  <c r="AM42" i="3" s="1"/>
  <c r="AD42" i="3"/>
  <c r="AC42" i="3"/>
  <c r="AA42" i="3"/>
  <c r="AB42" i="3" s="1"/>
  <c r="S42" i="3"/>
  <c r="R42" i="3"/>
  <c r="CH41" i="3"/>
  <c r="CI41" i="3" s="1"/>
  <c r="CD41" i="3"/>
  <c r="CC41" i="3"/>
  <c r="CA41" i="3"/>
  <c r="CB41" i="3" s="1"/>
  <c r="BK41" i="3"/>
  <c r="BJ41" i="3"/>
  <c r="BH41" i="3"/>
  <c r="AZ41" i="3"/>
  <c r="AY41" i="3"/>
  <c r="AW41" i="3"/>
  <c r="AX41" i="3" s="1"/>
  <c r="AO41" i="3"/>
  <c r="AN41" i="3"/>
  <c r="AL41" i="3"/>
  <c r="AD41" i="3"/>
  <c r="AC41" i="3"/>
  <c r="AA41" i="3"/>
  <c r="AB41" i="3" s="1"/>
  <c r="S41" i="3"/>
  <c r="R41" i="3"/>
  <c r="CH40" i="3"/>
  <c r="CI40" i="3" s="1"/>
  <c r="CD40" i="3"/>
  <c r="CC40" i="3"/>
  <c r="CA40" i="3"/>
  <c r="CB40" i="3" s="1"/>
  <c r="BK40" i="3"/>
  <c r="BJ40" i="3"/>
  <c r="BH40" i="3"/>
  <c r="BI40" i="3" s="1"/>
  <c r="AZ40" i="3"/>
  <c r="AY40" i="3"/>
  <c r="AW40" i="3"/>
  <c r="AX40" i="3" s="1"/>
  <c r="AO40" i="3"/>
  <c r="AN40" i="3"/>
  <c r="AL40" i="3"/>
  <c r="AM40" i="3" s="1"/>
  <c r="AD40" i="3"/>
  <c r="AC40" i="3"/>
  <c r="AA40" i="3"/>
  <c r="AB40" i="3" s="1"/>
  <c r="S40" i="3"/>
  <c r="R40" i="3"/>
  <c r="CH39" i="3"/>
  <c r="CI39" i="3" s="1"/>
  <c r="CD39" i="3"/>
  <c r="CC39" i="3"/>
  <c r="CA39" i="3"/>
  <c r="CB39" i="3" s="1"/>
  <c r="BK39" i="3"/>
  <c r="BJ39" i="3"/>
  <c r="BH39" i="3"/>
  <c r="BI39" i="3" s="1"/>
  <c r="AZ39" i="3"/>
  <c r="AY39" i="3"/>
  <c r="AW39" i="3"/>
  <c r="AO39" i="3"/>
  <c r="AN39" i="3"/>
  <c r="AL39" i="3"/>
  <c r="AM39" i="3" s="1"/>
  <c r="AD39" i="3"/>
  <c r="AC39" i="3"/>
  <c r="AA39" i="3"/>
  <c r="AB39" i="3" s="1"/>
  <c r="S39" i="3"/>
  <c r="R39" i="3"/>
  <c r="CH38" i="3"/>
  <c r="CI38" i="3" s="1"/>
  <c r="CD38" i="3"/>
  <c r="CC38" i="3"/>
  <c r="CA38" i="3"/>
  <c r="CB38" i="3" s="1"/>
  <c r="BK38" i="3"/>
  <c r="BJ38" i="3"/>
  <c r="BH38" i="3"/>
  <c r="BI38" i="3" s="1"/>
  <c r="AZ38" i="3"/>
  <c r="AY38" i="3"/>
  <c r="AW38" i="3"/>
  <c r="AX38" i="3" s="1"/>
  <c r="AO38" i="3"/>
  <c r="AN38" i="3"/>
  <c r="AL38" i="3"/>
  <c r="AM38" i="3" s="1"/>
  <c r="AD38" i="3"/>
  <c r="AC38" i="3"/>
  <c r="AA38" i="3"/>
  <c r="S38" i="3"/>
  <c r="R38" i="3"/>
  <c r="CH37" i="3"/>
  <c r="CI37" i="3" s="1"/>
  <c r="CD37" i="3"/>
  <c r="CC37" i="3"/>
  <c r="CA37" i="3"/>
  <c r="CB37" i="3" s="1"/>
  <c r="BK37" i="3"/>
  <c r="BJ37" i="3"/>
  <c r="BH37" i="3"/>
  <c r="BI37" i="3" s="1"/>
  <c r="AZ37" i="3"/>
  <c r="AY37" i="3"/>
  <c r="AW37" i="3"/>
  <c r="AX37" i="3" s="1"/>
  <c r="AO37" i="3"/>
  <c r="AN37" i="3"/>
  <c r="AL37" i="3"/>
  <c r="AM37" i="3" s="1"/>
  <c r="AD37" i="3"/>
  <c r="AC37" i="3"/>
  <c r="AA37" i="3"/>
  <c r="S37" i="3"/>
  <c r="R37" i="3"/>
  <c r="CH36" i="3"/>
  <c r="CI36" i="3" s="1"/>
  <c r="CD36" i="3"/>
  <c r="CC36" i="3"/>
  <c r="CA36" i="3"/>
  <c r="CB36" i="3" s="1"/>
  <c r="BK36" i="3"/>
  <c r="BJ36" i="3"/>
  <c r="BH36" i="3"/>
  <c r="BI36" i="3" s="1"/>
  <c r="AZ36" i="3"/>
  <c r="AY36" i="3"/>
  <c r="AW36" i="3"/>
  <c r="AX36" i="3" s="1"/>
  <c r="AO36" i="3"/>
  <c r="AN36" i="3"/>
  <c r="AL36" i="3"/>
  <c r="AM36" i="3" s="1"/>
  <c r="AD36" i="3"/>
  <c r="AC36" i="3"/>
  <c r="AA36" i="3"/>
  <c r="S36" i="3"/>
  <c r="R36" i="3"/>
  <c r="CH35" i="3"/>
  <c r="CI35" i="3" s="1"/>
  <c r="CD35" i="3"/>
  <c r="CC35" i="3"/>
  <c r="CA35" i="3"/>
  <c r="CB35" i="3" s="1"/>
  <c r="BK35" i="3"/>
  <c r="BJ35" i="3"/>
  <c r="BH35" i="3"/>
  <c r="BI35" i="3" s="1"/>
  <c r="AZ35" i="3"/>
  <c r="AY35" i="3"/>
  <c r="AW35" i="3"/>
  <c r="AX35" i="3" s="1"/>
  <c r="AO35" i="3"/>
  <c r="AN35" i="3"/>
  <c r="AL35" i="3"/>
  <c r="AM35" i="3" s="1"/>
  <c r="AD35" i="3"/>
  <c r="AC35" i="3"/>
  <c r="AA35" i="3"/>
  <c r="S35" i="3"/>
  <c r="R35" i="3"/>
  <c r="CH34" i="3"/>
  <c r="CI34" i="3" s="1"/>
  <c r="CD34" i="3"/>
  <c r="CC34" i="3"/>
  <c r="CA34" i="3"/>
  <c r="CB34" i="3" s="1"/>
  <c r="BK34" i="3"/>
  <c r="BJ34" i="3"/>
  <c r="BH34" i="3"/>
  <c r="BI34" i="3" s="1"/>
  <c r="AZ34" i="3"/>
  <c r="AY34" i="3"/>
  <c r="AW34" i="3"/>
  <c r="AX34" i="3" s="1"/>
  <c r="AO34" i="3"/>
  <c r="AN34" i="3"/>
  <c r="AL34" i="3"/>
  <c r="AM34" i="3" s="1"/>
  <c r="AD34" i="3"/>
  <c r="AC34" i="3"/>
  <c r="AA34" i="3"/>
  <c r="S34" i="3"/>
  <c r="R34" i="3"/>
  <c r="CH33" i="3"/>
  <c r="CI33" i="3" s="1"/>
  <c r="CD33" i="3"/>
  <c r="CC33" i="3"/>
  <c r="CA33" i="3"/>
  <c r="CB33" i="3" s="1"/>
  <c r="BK33" i="3"/>
  <c r="BJ33" i="3"/>
  <c r="BH33" i="3"/>
  <c r="BI33" i="3" s="1"/>
  <c r="AZ33" i="3"/>
  <c r="AY33" i="3"/>
  <c r="AW33" i="3"/>
  <c r="AX33" i="3" s="1"/>
  <c r="AO33" i="3"/>
  <c r="AN33" i="3"/>
  <c r="AL33" i="3"/>
  <c r="AM33" i="3" s="1"/>
  <c r="AD33" i="3"/>
  <c r="AC33" i="3"/>
  <c r="AA33" i="3"/>
  <c r="S33" i="3"/>
  <c r="R33" i="3"/>
  <c r="CH32" i="3"/>
  <c r="CI32" i="3" s="1"/>
  <c r="CD32" i="3"/>
  <c r="CC32" i="3"/>
  <c r="CA32" i="3"/>
  <c r="CB32" i="3" s="1"/>
  <c r="BK32" i="3"/>
  <c r="BJ32" i="3"/>
  <c r="BH32" i="3"/>
  <c r="BI32" i="3" s="1"/>
  <c r="AZ32" i="3"/>
  <c r="AY32" i="3"/>
  <c r="AW32" i="3"/>
  <c r="AX32" i="3" s="1"/>
  <c r="AO32" i="3"/>
  <c r="AN32" i="3"/>
  <c r="AL32" i="3"/>
  <c r="AM32" i="3" s="1"/>
  <c r="AD32" i="3"/>
  <c r="AC32" i="3"/>
  <c r="AA32" i="3"/>
  <c r="S32" i="3"/>
  <c r="R32" i="3"/>
  <c r="CH31" i="3"/>
  <c r="CI31" i="3" s="1"/>
  <c r="CD31" i="3"/>
  <c r="CC31" i="3"/>
  <c r="CA31" i="3"/>
  <c r="CB31" i="3" s="1"/>
  <c r="BK31" i="3"/>
  <c r="BJ31" i="3"/>
  <c r="BH31" i="3"/>
  <c r="BI31" i="3" s="1"/>
  <c r="AZ31" i="3"/>
  <c r="AY31" i="3"/>
  <c r="AW31" i="3"/>
  <c r="AX31" i="3" s="1"/>
  <c r="AO31" i="3"/>
  <c r="AN31" i="3"/>
  <c r="AL31" i="3"/>
  <c r="AM31" i="3" s="1"/>
  <c r="AD31" i="3"/>
  <c r="AC31" i="3"/>
  <c r="AA31" i="3"/>
  <c r="S31" i="3"/>
  <c r="R31" i="3"/>
  <c r="CH30" i="3"/>
  <c r="CI30" i="3" s="1"/>
  <c r="CD30" i="3"/>
  <c r="CC30" i="3"/>
  <c r="CA30" i="3"/>
  <c r="CB30" i="3" s="1"/>
  <c r="BK30" i="3"/>
  <c r="BJ30" i="3"/>
  <c r="BH30" i="3"/>
  <c r="BI30" i="3" s="1"/>
  <c r="AZ30" i="3"/>
  <c r="AY30" i="3"/>
  <c r="AW30" i="3"/>
  <c r="AX30" i="3" s="1"/>
  <c r="AO30" i="3"/>
  <c r="AN30" i="3"/>
  <c r="AL30" i="3"/>
  <c r="AM30" i="3" s="1"/>
  <c r="AD30" i="3"/>
  <c r="AC30" i="3"/>
  <c r="AA30" i="3"/>
  <c r="S30" i="3"/>
  <c r="R30" i="3"/>
  <c r="CH29" i="3"/>
  <c r="CI29" i="3" s="1"/>
  <c r="CD29" i="3"/>
  <c r="CC29" i="3"/>
  <c r="CA29" i="3"/>
  <c r="CB29" i="3" s="1"/>
  <c r="BK29" i="3"/>
  <c r="BJ29" i="3"/>
  <c r="BH29" i="3"/>
  <c r="BI29" i="3" s="1"/>
  <c r="AZ29" i="3"/>
  <c r="AY29" i="3"/>
  <c r="AW29" i="3"/>
  <c r="AX29" i="3" s="1"/>
  <c r="AO29" i="3"/>
  <c r="AN29" i="3"/>
  <c r="AL29" i="3"/>
  <c r="AM29" i="3" s="1"/>
  <c r="AD29" i="3"/>
  <c r="AC29" i="3"/>
  <c r="AA29" i="3"/>
  <c r="S29" i="3"/>
  <c r="R29" i="3"/>
  <c r="CH28" i="3"/>
  <c r="CI28" i="3" s="1"/>
  <c r="CD28" i="3"/>
  <c r="CC28" i="3"/>
  <c r="CA28" i="3"/>
  <c r="CB28" i="3" s="1"/>
  <c r="BK28" i="3"/>
  <c r="BJ28" i="3"/>
  <c r="BH28" i="3"/>
  <c r="BI28" i="3" s="1"/>
  <c r="AZ28" i="3"/>
  <c r="AY28" i="3"/>
  <c r="AW28" i="3"/>
  <c r="AX28" i="3" s="1"/>
  <c r="AO28" i="3"/>
  <c r="AN28" i="3"/>
  <c r="AL28" i="3"/>
  <c r="AM28" i="3" s="1"/>
  <c r="AD28" i="3"/>
  <c r="AC28" i="3"/>
  <c r="AA28" i="3"/>
  <c r="S28" i="3"/>
  <c r="R28" i="3"/>
  <c r="CH27" i="3"/>
  <c r="CI27" i="3" s="1"/>
  <c r="CD27" i="3"/>
  <c r="CC27" i="3"/>
  <c r="CA27" i="3"/>
  <c r="CB27" i="3" s="1"/>
  <c r="BK27" i="3"/>
  <c r="BJ27" i="3"/>
  <c r="BH27" i="3"/>
  <c r="BI27" i="3" s="1"/>
  <c r="AZ27" i="3"/>
  <c r="AY27" i="3"/>
  <c r="AW27" i="3"/>
  <c r="AX27" i="3" s="1"/>
  <c r="AO27" i="3"/>
  <c r="AN27" i="3"/>
  <c r="AL27" i="3"/>
  <c r="AM27" i="3" s="1"/>
  <c r="AD27" i="3"/>
  <c r="AC27" i="3"/>
  <c r="AA27" i="3"/>
  <c r="S27" i="3"/>
  <c r="R27" i="3"/>
  <c r="CH26" i="3"/>
  <c r="CI26" i="3" s="1"/>
  <c r="CD26" i="3"/>
  <c r="CC26" i="3"/>
  <c r="CA26" i="3"/>
  <c r="CB26" i="3" s="1"/>
  <c r="BK26" i="3"/>
  <c r="BJ26" i="3"/>
  <c r="BH26" i="3"/>
  <c r="BI26" i="3" s="1"/>
  <c r="AZ26" i="3"/>
  <c r="AY26" i="3"/>
  <c r="AW26" i="3"/>
  <c r="AX26" i="3" s="1"/>
  <c r="AO26" i="3"/>
  <c r="AN26" i="3"/>
  <c r="AL26" i="3"/>
  <c r="AM26" i="3" s="1"/>
  <c r="AD26" i="3"/>
  <c r="AC26" i="3"/>
  <c r="AA26" i="3"/>
  <c r="S26" i="3"/>
  <c r="R26" i="3"/>
  <c r="CH25" i="3"/>
  <c r="CI25" i="3" s="1"/>
  <c r="CD25" i="3"/>
  <c r="CC25" i="3"/>
  <c r="CA25" i="3"/>
  <c r="CB25" i="3" s="1"/>
  <c r="BK25" i="3"/>
  <c r="BJ25" i="3"/>
  <c r="BH25" i="3"/>
  <c r="BI25" i="3" s="1"/>
  <c r="AZ25" i="3"/>
  <c r="AY25" i="3"/>
  <c r="AW25" i="3"/>
  <c r="AX25" i="3" s="1"/>
  <c r="AO25" i="3"/>
  <c r="AN25" i="3"/>
  <c r="AL25" i="3"/>
  <c r="AM25" i="3" s="1"/>
  <c r="AD25" i="3"/>
  <c r="AC25" i="3"/>
  <c r="AA25" i="3"/>
  <c r="S25" i="3"/>
  <c r="R25" i="3"/>
  <c r="CH24" i="3"/>
  <c r="CI24" i="3" s="1"/>
  <c r="CD24" i="3"/>
  <c r="CC24" i="3"/>
  <c r="CA24" i="3"/>
  <c r="CB24" i="3" s="1"/>
  <c r="BK24" i="3"/>
  <c r="BJ24" i="3"/>
  <c r="BH24" i="3"/>
  <c r="BI24" i="3" s="1"/>
  <c r="AZ24" i="3"/>
  <c r="AY24" i="3"/>
  <c r="AW24" i="3"/>
  <c r="AX24" i="3" s="1"/>
  <c r="AO24" i="3"/>
  <c r="AN24" i="3"/>
  <c r="AL24" i="3"/>
  <c r="AM24" i="3" s="1"/>
  <c r="AD24" i="3"/>
  <c r="AC24" i="3"/>
  <c r="AA24" i="3"/>
  <c r="S24" i="3"/>
  <c r="R24" i="3"/>
  <c r="CH23" i="3"/>
  <c r="CI23" i="3" s="1"/>
  <c r="CD23" i="3"/>
  <c r="CC23" i="3"/>
  <c r="CA23" i="3"/>
  <c r="CB23" i="3" s="1"/>
  <c r="BK23" i="3"/>
  <c r="BJ23" i="3"/>
  <c r="BH23" i="3"/>
  <c r="BI23" i="3" s="1"/>
  <c r="AZ23" i="3"/>
  <c r="AY23" i="3"/>
  <c r="AW23" i="3"/>
  <c r="AX23" i="3" s="1"/>
  <c r="AO23" i="3"/>
  <c r="AN23" i="3"/>
  <c r="AL23" i="3"/>
  <c r="AM23" i="3" s="1"/>
  <c r="AD23" i="3"/>
  <c r="AC23" i="3"/>
  <c r="AA23" i="3"/>
  <c r="S23" i="3"/>
  <c r="R23" i="3"/>
  <c r="CH22" i="3"/>
  <c r="CI22" i="3" s="1"/>
  <c r="CD22" i="3"/>
  <c r="CC22" i="3"/>
  <c r="CA22" i="3"/>
  <c r="CB22" i="3" s="1"/>
  <c r="BK22" i="3"/>
  <c r="BJ22" i="3"/>
  <c r="BH22" i="3"/>
  <c r="BI22" i="3" s="1"/>
  <c r="AZ22" i="3"/>
  <c r="AY22" i="3"/>
  <c r="AW22" i="3"/>
  <c r="AX22" i="3" s="1"/>
  <c r="AO22" i="3"/>
  <c r="AN22" i="3"/>
  <c r="AM22" i="3"/>
  <c r="AL22" i="3"/>
  <c r="AD22" i="3"/>
  <c r="AC22" i="3"/>
  <c r="AA22" i="3"/>
  <c r="S22" i="3"/>
  <c r="R22" i="3"/>
  <c r="CH21" i="3"/>
  <c r="CI21" i="3" s="1"/>
  <c r="CD21" i="3"/>
  <c r="CC21" i="3"/>
  <c r="CA21" i="3"/>
  <c r="CB21" i="3" s="1"/>
  <c r="BK21" i="3"/>
  <c r="BJ21" i="3"/>
  <c r="BH21" i="3"/>
  <c r="BI21" i="3" s="1"/>
  <c r="AZ21" i="3"/>
  <c r="AY21" i="3"/>
  <c r="AW21" i="3"/>
  <c r="AX21" i="3" s="1"/>
  <c r="AO21" i="3"/>
  <c r="AN21" i="3"/>
  <c r="AL21" i="3"/>
  <c r="AM21" i="3" s="1"/>
  <c r="AD21" i="3"/>
  <c r="AC21" i="3"/>
  <c r="AA21" i="3"/>
  <c r="S21" i="3"/>
  <c r="R21" i="3"/>
  <c r="CH20" i="3"/>
  <c r="CI20" i="3" s="1"/>
  <c r="CD20" i="3"/>
  <c r="CC20" i="3"/>
  <c r="CA20" i="3"/>
  <c r="CB20" i="3" s="1"/>
  <c r="BK20" i="3"/>
  <c r="BJ20" i="3"/>
  <c r="BH20" i="3"/>
  <c r="BI20" i="3" s="1"/>
  <c r="AZ20" i="3"/>
  <c r="AY20" i="3"/>
  <c r="AW20" i="3"/>
  <c r="AX20" i="3" s="1"/>
  <c r="AO20" i="3"/>
  <c r="AN20" i="3"/>
  <c r="AL20" i="3"/>
  <c r="AD20" i="3"/>
  <c r="AC20" i="3"/>
  <c r="AA20" i="3"/>
  <c r="S20" i="3"/>
  <c r="R20" i="3"/>
  <c r="CH19" i="3"/>
  <c r="CI19" i="3" s="1"/>
  <c r="CD19" i="3"/>
  <c r="CC19" i="3"/>
  <c r="CA19" i="3"/>
  <c r="CB19" i="3" s="1"/>
  <c r="BK19" i="3"/>
  <c r="BJ19" i="3"/>
  <c r="BH19" i="3"/>
  <c r="BI19" i="3" s="1"/>
  <c r="AZ19" i="3"/>
  <c r="AY19" i="3"/>
  <c r="AW19" i="3"/>
  <c r="AX19" i="3" s="1"/>
  <c r="AO19" i="3"/>
  <c r="AN19" i="3"/>
  <c r="AL19" i="3"/>
  <c r="AD19" i="3"/>
  <c r="AC19" i="3"/>
  <c r="AA19" i="3"/>
  <c r="S19" i="3"/>
  <c r="R19" i="3"/>
  <c r="CH18" i="3"/>
  <c r="CI18" i="3" s="1"/>
  <c r="CD18" i="3"/>
  <c r="CC18" i="3"/>
  <c r="CA18" i="3"/>
  <c r="CB18" i="3" s="1"/>
  <c r="BK18" i="3"/>
  <c r="BJ18" i="3"/>
  <c r="BH18" i="3"/>
  <c r="BI18" i="3" s="1"/>
  <c r="AZ18" i="3"/>
  <c r="AY18" i="3"/>
  <c r="AX18" i="3"/>
  <c r="AW18" i="3"/>
  <c r="AO18" i="3"/>
  <c r="AN18" i="3"/>
  <c r="AL18" i="3"/>
  <c r="AD18" i="3"/>
  <c r="AC18" i="3"/>
  <c r="AA18" i="3"/>
  <c r="S18" i="3"/>
  <c r="R18" i="3"/>
  <c r="CI17" i="3"/>
  <c r="CH17" i="3"/>
  <c r="CD17" i="3"/>
  <c r="CC17" i="3"/>
  <c r="CA17" i="3"/>
  <c r="CB17" i="3" s="1"/>
  <c r="BK17" i="3"/>
  <c r="BJ17" i="3"/>
  <c r="BH17" i="3"/>
  <c r="BI17" i="3" s="1"/>
  <c r="AZ17" i="3"/>
  <c r="AY17" i="3"/>
  <c r="AW17" i="3"/>
  <c r="AX17" i="3" s="1"/>
  <c r="AO17" i="3"/>
  <c r="AN17" i="3"/>
  <c r="AL17" i="3"/>
  <c r="AD17" i="3"/>
  <c r="AC17" i="3"/>
  <c r="AA17" i="3"/>
  <c r="S17" i="3"/>
  <c r="R17" i="3"/>
  <c r="CH16" i="3"/>
  <c r="CI16" i="3" s="1"/>
  <c r="CD16" i="3"/>
  <c r="CC16" i="3"/>
  <c r="CA16" i="3"/>
  <c r="CB16" i="3" s="1"/>
  <c r="BK16" i="3"/>
  <c r="BJ16" i="3"/>
  <c r="BH16" i="3"/>
  <c r="BI16" i="3" s="1"/>
  <c r="AZ16" i="3"/>
  <c r="AY16" i="3"/>
  <c r="AW16" i="3"/>
  <c r="AX16" i="3" s="1"/>
  <c r="AO16" i="3"/>
  <c r="AN16" i="3"/>
  <c r="AL16" i="3"/>
  <c r="AD16" i="3"/>
  <c r="AC16" i="3"/>
  <c r="AA16" i="3"/>
  <c r="S16" i="3"/>
  <c r="R16" i="3"/>
  <c r="CH15" i="3"/>
  <c r="CI15" i="3" s="1"/>
  <c r="CD15" i="3"/>
  <c r="CC15" i="3"/>
  <c r="CA15" i="3"/>
  <c r="CB15" i="3" s="1"/>
  <c r="BK15" i="3"/>
  <c r="BJ15" i="3"/>
  <c r="BH15" i="3"/>
  <c r="BI15" i="3" s="1"/>
  <c r="AZ15" i="3"/>
  <c r="AY15" i="3"/>
  <c r="AW15" i="3"/>
  <c r="AX15" i="3" s="1"/>
  <c r="AO15" i="3"/>
  <c r="AN15" i="3"/>
  <c r="AL15" i="3"/>
  <c r="AD15" i="3"/>
  <c r="AC15" i="3"/>
  <c r="AA15" i="3"/>
  <c r="S15" i="3"/>
  <c r="R15" i="3"/>
  <c r="CH14" i="3"/>
  <c r="CI14" i="3" s="1"/>
  <c r="CD14" i="3"/>
  <c r="CC14" i="3"/>
  <c r="CA14" i="3"/>
  <c r="CB14" i="3" s="1"/>
  <c r="BK14" i="3"/>
  <c r="BJ14" i="3"/>
  <c r="BH14" i="3"/>
  <c r="BI14" i="3" s="1"/>
  <c r="AZ14" i="3"/>
  <c r="AY14" i="3"/>
  <c r="AW14" i="3"/>
  <c r="AX14" i="3" s="1"/>
  <c r="AO14" i="3"/>
  <c r="AN14" i="3"/>
  <c r="AL14" i="3"/>
  <c r="AD14" i="3"/>
  <c r="AC14" i="3"/>
  <c r="AA14" i="3"/>
  <c r="S14" i="3"/>
  <c r="R14" i="3"/>
  <c r="CH13" i="3"/>
  <c r="CI13" i="3" s="1"/>
  <c r="CD13" i="3"/>
  <c r="CC13" i="3"/>
  <c r="CA13" i="3"/>
  <c r="CB13" i="3" s="1"/>
  <c r="BK13" i="3"/>
  <c r="BJ13" i="3"/>
  <c r="BH13" i="3"/>
  <c r="BI13" i="3" s="1"/>
  <c r="AZ13" i="3"/>
  <c r="AY13" i="3"/>
  <c r="AW13" i="3"/>
  <c r="AX13" i="3" s="1"/>
  <c r="AO13" i="3"/>
  <c r="AN13" i="3"/>
  <c r="AL13" i="3"/>
  <c r="AD13" i="3"/>
  <c r="AC13" i="3"/>
  <c r="AA13" i="3"/>
  <c r="S13" i="3"/>
  <c r="R13" i="3"/>
  <c r="CH12" i="3"/>
  <c r="CI12" i="3" s="1"/>
  <c r="CD12" i="3"/>
  <c r="CC12" i="3"/>
  <c r="CA12" i="3"/>
  <c r="CB12" i="3" s="1"/>
  <c r="BK12" i="3"/>
  <c r="BJ12" i="3"/>
  <c r="BH12" i="3"/>
  <c r="BI12" i="3" s="1"/>
  <c r="AZ12" i="3"/>
  <c r="AY12" i="3"/>
  <c r="AW12" i="3"/>
  <c r="AX12" i="3" s="1"/>
  <c r="AO12" i="3"/>
  <c r="AN12" i="3"/>
  <c r="AL12" i="3"/>
  <c r="AD12" i="3"/>
  <c r="AC12" i="3"/>
  <c r="AA12" i="3"/>
  <c r="S12" i="3"/>
  <c r="R12" i="3"/>
  <c r="CH11" i="3"/>
  <c r="CI11" i="3" s="1"/>
  <c r="CD11" i="3"/>
  <c r="CC11" i="3"/>
  <c r="CA11" i="3"/>
  <c r="CB11" i="3" s="1"/>
  <c r="BK11" i="3"/>
  <c r="BJ11" i="3"/>
  <c r="BH11" i="3"/>
  <c r="BI11" i="3" s="1"/>
  <c r="AZ11" i="3"/>
  <c r="AY11" i="3"/>
  <c r="AW11" i="3"/>
  <c r="AX11" i="3" s="1"/>
  <c r="AO11" i="3"/>
  <c r="AN11" i="3"/>
  <c r="AL11" i="3"/>
  <c r="AD11" i="3"/>
  <c r="AC11" i="3"/>
  <c r="AA11" i="3"/>
  <c r="S11" i="3"/>
  <c r="R11" i="3"/>
  <c r="CH10" i="3"/>
  <c r="CI10" i="3" s="1"/>
  <c r="CD10" i="3"/>
  <c r="CC10" i="3"/>
  <c r="CA10" i="3"/>
  <c r="CB10" i="3" s="1"/>
  <c r="BK10" i="3"/>
  <c r="BJ10" i="3"/>
  <c r="BH10" i="3"/>
  <c r="BI10" i="3" s="1"/>
  <c r="AZ10" i="3"/>
  <c r="AY10" i="3"/>
  <c r="AW10" i="3"/>
  <c r="AX10" i="3" s="1"/>
  <c r="AO10" i="3"/>
  <c r="AN10" i="3"/>
  <c r="AL10" i="3"/>
  <c r="AD10" i="3"/>
  <c r="AC10" i="3"/>
  <c r="AA10" i="3"/>
  <c r="S10" i="3"/>
  <c r="R10" i="3"/>
  <c r="CH9" i="3"/>
  <c r="CI9" i="3" s="1"/>
  <c r="CD9" i="3"/>
  <c r="CC9" i="3"/>
  <c r="CA9" i="3"/>
  <c r="CB9" i="3" s="1"/>
  <c r="BK9" i="3"/>
  <c r="BJ9" i="3"/>
  <c r="BH9" i="3"/>
  <c r="BI9" i="3" s="1"/>
  <c r="AZ9" i="3"/>
  <c r="AY9" i="3"/>
  <c r="AW9" i="3"/>
  <c r="AX9" i="3" s="1"/>
  <c r="AO9" i="3"/>
  <c r="AN9" i="3"/>
  <c r="AL9" i="3"/>
  <c r="AD9" i="3"/>
  <c r="AC9" i="3"/>
  <c r="AA9" i="3"/>
  <c r="S9" i="3"/>
  <c r="R9" i="3"/>
  <c r="CH8" i="3"/>
  <c r="CI8" i="3" s="1"/>
  <c r="CD8" i="3"/>
  <c r="CC8" i="3"/>
  <c r="CA8" i="3"/>
  <c r="CB8" i="3" s="1"/>
  <c r="BK8" i="3"/>
  <c r="BJ8" i="3"/>
  <c r="BH8" i="3"/>
  <c r="BI8" i="3" s="1"/>
  <c r="AZ8" i="3"/>
  <c r="AY8" i="3"/>
  <c r="AW8" i="3"/>
  <c r="AX8" i="3" s="1"/>
  <c r="AO8" i="3"/>
  <c r="AN8" i="3"/>
  <c r="AL8" i="3"/>
  <c r="AD8" i="3"/>
  <c r="AC8" i="3"/>
  <c r="AA8" i="3"/>
  <c r="S8" i="3"/>
  <c r="R8" i="3"/>
  <c r="CH7" i="3"/>
  <c r="CI7" i="3" s="1"/>
  <c r="CD7" i="3"/>
  <c r="CC7" i="3"/>
  <c r="CA7" i="3"/>
  <c r="CB7" i="3" s="1"/>
  <c r="BK7" i="3"/>
  <c r="BJ7" i="3"/>
  <c r="BH7" i="3"/>
  <c r="BI7" i="3" s="1"/>
  <c r="AZ7" i="3"/>
  <c r="AY7" i="3"/>
  <c r="AW7" i="3"/>
  <c r="AX7" i="3" s="1"/>
  <c r="AO7" i="3"/>
  <c r="AN7" i="3"/>
  <c r="AL7" i="3"/>
  <c r="AD7" i="3"/>
  <c r="AC7" i="3"/>
  <c r="AA7" i="3"/>
  <c r="S7" i="3"/>
  <c r="R7" i="3"/>
  <c r="CH6" i="3"/>
  <c r="CI6" i="3" s="1"/>
  <c r="CD6" i="3"/>
  <c r="CC6" i="3"/>
  <c r="CA6" i="3"/>
  <c r="CB6" i="3" s="1"/>
  <c r="BK6" i="3"/>
  <c r="BJ6" i="3"/>
  <c r="BH6" i="3"/>
  <c r="BI6" i="3" s="1"/>
  <c r="AZ6" i="3"/>
  <c r="AY6" i="3"/>
  <c r="AW6" i="3"/>
  <c r="AX6" i="3" s="1"/>
  <c r="AO6" i="3"/>
  <c r="AN6" i="3"/>
  <c r="AL6" i="3"/>
  <c r="AD6" i="3"/>
  <c r="AC6" i="3"/>
  <c r="AA6" i="3"/>
  <c r="S6" i="3"/>
  <c r="R6" i="3"/>
  <c r="CG2" i="3"/>
  <c r="CE2" i="3"/>
  <c r="CD2" i="3"/>
  <c r="BT2" i="3"/>
  <c r="BO2" i="3"/>
  <c r="BK2" i="3"/>
  <c r="BD2" i="3"/>
  <c r="BC2" i="3"/>
  <c r="BB2" i="3"/>
  <c r="BA2" i="3"/>
  <c r="AZ2" i="3"/>
  <c r="AY2" i="3"/>
  <c r="AS2" i="3"/>
  <c r="AR2" i="3"/>
  <c r="AQ2" i="3"/>
  <c r="AP2" i="3"/>
  <c r="AO2" i="3"/>
  <c r="AN2" i="3"/>
  <c r="AH2" i="3"/>
  <c r="AG2" i="3"/>
  <c r="AF2" i="3"/>
  <c r="AE2" i="3"/>
  <c r="AD2" i="3"/>
  <c r="AC2" i="3"/>
  <c r="W2" i="3"/>
  <c r="V2" i="3"/>
  <c r="U2" i="3"/>
  <c r="T2" i="3"/>
  <c r="S2" i="3"/>
  <c r="R2" i="3"/>
  <c r="AM107" i="3" l="1"/>
  <c r="AM67" i="3"/>
  <c r="AM68" i="3"/>
  <c r="AM18" i="3"/>
  <c r="B199" i="3"/>
  <c r="C6" i="2" s="1"/>
  <c r="BI96" i="3"/>
  <c r="BH96" i="3" s="1"/>
  <c r="C199" i="3"/>
  <c r="D199" i="3"/>
  <c r="E6" i="2" s="1"/>
  <c r="H199" i="3"/>
  <c r="CI96" i="3"/>
  <c r="CH96" i="3" s="1"/>
  <c r="F199" i="3"/>
  <c r="G6" i="2" s="1"/>
  <c r="AL51" i="3"/>
  <c r="CI47" i="3"/>
  <c r="CH47" i="3" s="1"/>
  <c r="AW51" i="3"/>
  <c r="A199" i="3"/>
  <c r="B6" i="2" s="1"/>
  <c r="AA2" i="3"/>
  <c r="AB78" i="3" s="1"/>
  <c r="CB145" i="3"/>
  <c r="CA145" i="3" s="1"/>
  <c r="AW100" i="3"/>
  <c r="CI145" i="3"/>
  <c r="CH145" i="3" s="1"/>
  <c r="AL100" i="3"/>
  <c r="BI145" i="3"/>
  <c r="BH145" i="3" s="1"/>
  <c r="AL149" i="3"/>
  <c r="AA149" i="3"/>
  <c r="BH149" i="3"/>
  <c r="CB96" i="3"/>
  <c r="CA96" i="3" s="1"/>
  <c r="BH51" i="3"/>
  <c r="AX69" i="3"/>
  <c r="AX96" i="3" s="1"/>
  <c r="AW96" i="3" s="1"/>
  <c r="AA51" i="3"/>
  <c r="CB194" i="3"/>
  <c r="CA194" i="3" s="1"/>
  <c r="CI194" i="3"/>
  <c r="CH194" i="3" s="1"/>
  <c r="AX194" i="3"/>
  <c r="AW194" i="3" s="1"/>
  <c r="BI157" i="3"/>
  <c r="BI194" i="3" s="1"/>
  <c r="BH194" i="3" s="1"/>
  <c r="AW149" i="3"/>
  <c r="AX104" i="3"/>
  <c r="AX145" i="3" s="1"/>
  <c r="AW145" i="3" s="1"/>
  <c r="AA100" i="3"/>
  <c r="BH100" i="3"/>
  <c r="CB47" i="3"/>
  <c r="CA47" i="3" s="1"/>
  <c r="AW2" i="3"/>
  <c r="BH2" i="3"/>
  <c r="AL2" i="3"/>
  <c r="AM62" i="3" s="1"/>
  <c r="AX39" i="3"/>
  <c r="AX47" i="3" s="1"/>
  <c r="AW47" i="3" s="1"/>
  <c r="AM41" i="3"/>
  <c r="BI41" i="3"/>
  <c r="BI47" i="3" s="1"/>
  <c r="BH47" i="3" s="1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I199" i="3" l="1"/>
  <c r="J6" i="2" s="1"/>
  <c r="AM116" i="3"/>
  <c r="AM60" i="3"/>
  <c r="AM66" i="3"/>
  <c r="AM112" i="3"/>
  <c r="AM115" i="3"/>
  <c r="AM114" i="3"/>
  <c r="AM105" i="3"/>
  <c r="AM104" i="3"/>
  <c r="AM69" i="3"/>
  <c r="AM117" i="3"/>
  <c r="AM55" i="3"/>
  <c r="AM113" i="3"/>
  <c r="AM65" i="3"/>
  <c r="AM64" i="3"/>
  <c r="AM63" i="3"/>
  <c r="AM154" i="3"/>
  <c r="AM61" i="3"/>
  <c r="AM106" i="3"/>
  <c r="AM58" i="3"/>
  <c r="AM57" i="3"/>
  <c r="AM56" i="3"/>
  <c r="AM59" i="3"/>
  <c r="AM109" i="3"/>
  <c r="AM108" i="3"/>
  <c r="AM111" i="3"/>
  <c r="AM110" i="3"/>
  <c r="AB7" i="3"/>
  <c r="AB6" i="3"/>
  <c r="AB47" i="3" s="1"/>
  <c r="AA47" i="3" s="1"/>
  <c r="AM19" i="3"/>
  <c r="AM14" i="3"/>
  <c r="AB16" i="3"/>
  <c r="AB15" i="3"/>
  <c r="AM163" i="3"/>
  <c r="AM16" i="3"/>
  <c r="AM10" i="3"/>
  <c r="AB18" i="3"/>
  <c r="AB14" i="3"/>
  <c r="AM12" i="3"/>
  <c r="AM6" i="3"/>
  <c r="AM8" i="3"/>
  <c r="AM20" i="3"/>
  <c r="AB13" i="3"/>
  <c r="AB12" i="3"/>
  <c r="AM15" i="3"/>
  <c r="AM17" i="3"/>
  <c r="AB20" i="3"/>
  <c r="AB11" i="3"/>
  <c r="AM11" i="3"/>
  <c r="AM13" i="3"/>
  <c r="AB19" i="3"/>
  <c r="AB8" i="3"/>
  <c r="AM7" i="3"/>
  <c r="AM9" i="3"/>
  <c r="AM159" i="3"/>
  <c r="AB10" i="3"/>
  <c r="AM157" i="3"/>
  <c r="AM155" i="3"/>
  <c r="AB17" i="3"/>
  <c r="AB9" i="3"/>
  <c r="AM165" i="3"/>
  <c r="AM166" i="3"/>
  <c r="AM164" i="3"/>
  <c r="AM162" i="3"/>
  <c r="AM160" i="3"/>
  <c r="AM158" i="3"/>
  <c r="AM153" i="3"/>
  <c r="AB159" i="3"/>
  <c r="AM156" i="3"/>
  <c r="AM161" i="3"/>
  <c r="G199" i="3"/>
  <c r="H6" i="2" s="1"/>
  <c r="K6" i="2"/>
  <c r="I6" i="2"/>
  <c r="I7" i="2" s="1"/>
  <c r="Q6" i="2" s="1"/>
  <c r="E199" i="3"/>
  <c r="F6" i="2" s="1"/>
  <c r="D6" i="2"/>
  <c r="AB64" i="3"/>
  <c r="AB167" i="3"/>
  <c r="AB185" i="3"/>
  <c r="AB109" i="3"/>
  <c r="AB66" i="3"/>
  <c r="AB59" i="3"/>
  <c r="AB58" i="3"/>
  <c r="AB179" i="3"/>
  <c r="AB174" i="3"/>
  <c r="AB112" i="3"/>
  <c r="AB105" i="3"/>
  <c r="AB68" i="3"/>
  <c r="AB124" i="3"/>
  <c r="AB136" i="3"/>
  <c r="AB75" i="3"/>
  <c r="AB128" i="3"/>
  <c r="AB155" i="3"/>
  <c r="AB55" i="3"/>
  <c r="AB82" i="3"/>
  <c r="AB86" i="3"/>
  <c r="AB118" i="3"/>
  <c r="AB65" i="3"/>
  <c r="AB130" i="3"/>
  <c r="AB120" i="3"/>
  <c r="AB186" i="3"/>
  <c r="AB125" i="3"/>
  <c r="AB38" i="3"/>
  <c r="AB87" i="3"/>
  <c r="AB79" i="3"/>
  <c r="AB85" i="3"/>
  <c r="AB77" i="3"/>
  <c r="AB169" i="3"/>
  <c r="AB113" i="3"/>
  <c r="AB156" i="3"/>
  <c r="AB83" i="3"/>
  <c r="AB133" i="3"/>
  <c r="AB115" i="3"/>
  <c r="AB135" i="3"/>
  <c r="AB131" i="3"/>
  <c r="AB119" i="3"/>
  <c r="AB81" i="3"/>
  <c r="AB177" i="3"/>
  <c r="AB117" i="3"/>
  <c r="AB61" i="3"/>
  <c r="AB56" i="3"/>
  <c r="AB104" i="3"/>
  <c r="AB62" i="3"/>
  <c r="AB111" i="3"/>
  <c r="AB57" i="3"/>
  <c r="AB162" i="3"/>
  <c r="AB110" i="3"/>
  <c r="AB168" i="3"/>
  <c r="AB84" i="3"/>
  <c r="AB127" i="3"/>
  <c r="AB108" i="3"/>
  <c r="AB72" i="3"/>
  <c r="AB164" i="3"/>
  <c r="AB76" i="3"/>
  <c r="AB173" i="3"/>
  <c r="AB160" i="3"/>
  <c r="AB163" i="3"/>
  <c r="AB182" i="3"/>
  <c r="AB184" i="3"/>
  <c r="AB175" i="3"/>
  <c r="AB67" i="3"/>
  <c r="AB157" i="3"/>
  <c r="AB73" i="3"/>
  <c r="AB80" i="3"/>
  <c r="AB154" i="3"/>
  <c r="AB170" i="3"/>
  <c r="AB126" i="3"/>
  <c r="AB181" i="3"/>
  <c r="AB166" i="3"/>
  <c r="AB172" i="3"/>
  <c r="AB60" i="3"/>
  <c r="AB74" i="3"/>
  <c r="AB70" i="3"/>
  <c r="AB183" i="3"/>
  <c r="AB171" i="3"/>
  <c r="AB132" i="3"/>
  <c r="AB134" i="3"/>
  <c r="AB178" i="3"/>
  <c r="AB106" i="3"/>
  <c r="AB165" i="3"/>
  <c r="AB180" i="3"/>
  <c r="AB69" i="3"/>
  <c r="AB121" i="3"/>
  <c r="AB71" i="3"/>
  <c r="AB176" i="3"/>
  <c r="AB122" i="3"/>
  <c r="AB114" i="3"/>
  <c r="AB129" i="3"/>
  <c r="AB153" i="3"/>
  <c r="Y200" i="3"/>
  <c r="G7" i="2"/>
  <c r="P6" i="2" s="1"/>
  <c r="AB158" i="3"/>
  <c r="AB161" i="3"/>
  <c r="AB63" i="3"/>
  <c r="AB116" i="3"/>
  <c r="AB107" i="3"/>
  <c r="AB123" i="3"/>
  <c r="AM145" i="3" l="1"/>
  <c r="AL145" i="3" s="1"/>
  <c r="AM96" i="3"/>
  <c r="AL96" i="3" s="1"/>
  <c r="AM47" i="3"/>
  <c r="AL47" i="3" s="1"/>
  <c r="D7" i="2"/>
  <c r="N6" i="2" s="1"/>
  <c r="AM194" i="3"/>
  <c r="AL194" i="3" s="1"/>
  <c r="J7" i="2"/>
  <c r="AB96" i="3"/>
  <c r="AA96" i="3" s="1"/>
  <c r="AB145" i="3"/>
  <c r="AA145" i="3" s="1"/>
  <c r="AB194" i="3"/>
  <c r="AA194" i="3" s="1"/>
  <c r="E7" i="2"/>
  <c r="O6" i="2" s="1"/>
  <c r="K7" i="2" l="1"/>
  <c r="F7" i="2"/>
  <c r="H7" i="2"/>
</calcChain>
</file>

<file path=xl/sharedStrings.xml><?xml version="1.0" encoding="utf-8"?>
<sst xmlns="http://schemas.openxmlformats.org/spreadsheetml/2006/main" count="380" uniqueCount="49">
  <si>
    <t>chorak</t>
  </si>
  <si>
    <t>Fan o'qituvchisi:</t>
  </si>
  <si>
    <t xml:space="preserve">sinf </t>
  </si>
  <si>
    <t>sinf bo'yicha o'rtacha ball</t>
  </si>
  <si>
    <t>farq</t>
  </si>
  <si>
    <t>1-chorak</t>
  </si>
  <si>
    <t>2-chorak</t>
  </si>
  <si>
    <t>3-chorak</t>
  </si>
  <si>
    <t>4-chorak</t>
  </si>
  <si>
    <t>TR</t>
  </si>
  <si>
    <t>sinf</t>
  </si>
  <si>
    <t xml:space="preserve">chorak </t>
  </si>
  <si>
    <t>o'rtacha ball</t>
  </si>
  <si>
    <t>ASOSIY FARQ</t>
  </si>
  <si>
    <t>Umumiy</t>
  </si>
  <si>
    <t>o'quv yili</t>
  </si>
  <si>
    <t>fan</t>
  </si>
  <si>
    <t>CHORAKLIK  NATIJALAR</t>
  </si>
  <si>
    <t xml:space="preserve"> _________________ kuni olingan ____BSB/Loyiha ishi
NATIJALARI</t>
  </si>
  <si>
    <t xml:space="preserve"> _________________ kuni olingan ____CHSB
NATIJALARI</t>
  </si>
  <si>
    <t>ball</t>
  </si>
  <si>
    <t>T/r</t>
  </si>
  <si>
    <t>F.I.SH</t>
  </si>
  <si>
    <t>summativ baholash bo'yicha ballar</t>
  </si>
  <si>
    <t>chorak
bahosi</t>
  </si>
  <si>
    <t xml:space="preserve">Baholash mezoni </t>
  </si>
  <si>
    <t>Jami ball</t>
  </si>
  <si>
    <t>Foizda</t>
  </si>
  <si>
    <t>Jami ball
40</t>
  </si>
  <si>
    <t xml:space="preserve">BSB 
</t>
  </si>
  <si>
    <t xml:space="preserve">LI/Lab
</t>
  </si>
  <si>
    <t>FB
(10)</t>
  </si>
  <si>
    <t>CHSB
(40)</t>
  </si>
  <si>
    <t>Jami
ball 
(100)</t>
  </si>
  <si>
    <t>tahlil % da</t>
  </si>
  <si>
    <t xml:space="preserve">"Bilish 
(to'g'ri javoblar soni)" </t>
  </si>
  <si>
    <t xml:space="preserve"> "qo'llash 
(to'g'ri javoblar soni)" </t>
  </si>
  <si>
    <t>"Mulohaza
(to'g'ri javoblar soni)"</t>
  </si>
  <si>
    <t xml:space="preserve">o'rtacha </t>
  </si>
  <si>
    <t xml:space="preserve">Fan o`qituvchisi:                                                     </t>
  </si>
  <si>
    <t>Fan o`qituvchisi:                                                     _____________________________________</t>
  </si>
  <si>
    <t>2025-2026</t>
  </si>
  <si>
    <t xml:space="preserve">5 baholar </t>
  </si>
  <si>
    <t xml:space="preserve">4 baholar </t>
  </si>
  <si>
    <t xml:space="preserve">3 baholar </t>
  </si>
  <si>
    <t xml:space="preserve">eng yuqori </t>
  </si>
  <si>
    <t xml:space="preserve">eng past </t>
  </si>
  <si>
    <t>asosiy farq</t>
  </si>
  <si>
    <t>Qodirova Gulbahor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</si>
</sst>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Aptos Narrow"/>
      <family val="2"/>
      <charset val="204"/>
      <scheme val="minor"/>
    </font>
    <font>
      <sz val="9"/>
      <color theme="1"/>
      <name val="Open Sans"/>
      <family val="2"/>
      <charset val="204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4"/>
      <color theme="1"/>
      <name val="Times New Roman"/>
      <family val="1"/>
      <charset val="204"/>
    </font>
    <font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family val="2"/>
      <scheme val="minor"/>
    </font>
    <font>
      <b/>
      <sz val="11"/>
      <name val="Arial"/>
      <family val="2"/>
    </font>
    <font>
      <sz val="9"/>
      <color theme="1"/>
      <name val="Aptos Narrow"/>
      <family val="2"/>
      <charset val="204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0"/>
  </cellStyleXfs>
  <cellXfs count="8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0" xfId="0" applyFont="1"/>
    <xf numFmtId="0" fontId="4" fillId="5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/>
    <xf numFmtId="0" fontId="4" fillId="6" borderId="0" xfId="0" applyFont="1" applyFill="1" applyAlignment="1">
      <alignment horizontal="right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6" fillId="6" borderId="0" xfId="0" applyFont="1" applyFill="1"/>
    <xf numFmtId="0" fontId="4" fillId="5" borderId="9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3" xfId="0" applyBorder="1"/>
    <xf numFmtId="164" fontId="5" fillId="0" borderId="1" xfId="0" applyNumberFormat="1" applyFont="1" applyBorder="1"/>
    <xf numFmtId="0" fontId="6" fillId="0" borderId="0" xfId="0" applyFont="1"/>
    <xf numFmtId="0" fontId="0" fillId="7" borderId="4" xfId="0" applyFill="1" applyBorder="1" applyAlignment="1">
      <alignment horizontal="right"/>
    </xf>
    <xf numFmtId="0" fontId="1" fillId="7" borderId="4" xfId="0" applyFont="1" applyFill="1" applyBorder="1" applyAlignment="1">
      <alignment horizontal="right" vertical="top" wrapText="1"/>
    </xf>
    <xf numFmtId="0" fontId="1" fillId="7" borderId="6" xfId="0" applyFont="1" applyFill="1" applyBorder="1" applyAlignment="1">
      <alignment horizontal="right" vertical="top" wrapText="1"/>
    </xf>
    <xf numFmtId="0" fontId="5" fillId="2" borderId="5" xfId="0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right" wrapText="1"/>
    </xf>
    <xf numFmtId="164" fontId="5" fillId="0" borderId="0" xfId="0" applyNumberFormat="1" applyFont="1"/>
    <xf numFmtId="164" fontId="0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0" xfId="0" applyFont="1" applyBorder="1" applyAlignment="1">
      <alignment horizontal="center" vertical="center"/>
    </xf>
    <xf numFmtId="0" fontId="0" fillId="0" borderId="1" xfId="0" applyBorder="1"/>
    <xf numFmtId="164" fontId="5" fillId="0" borderId="1" xfId="0" applyNumberFormat="1" applyFont="1" applyBorder="1"/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horizontal="left" vertical="center" wrapText="1"/>
    </xf>
    <xf numFmtId="0" fontId="8" fillId="3" borderId="1" xfId="5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6" fillId="0" borderId="0" xfId="0" applyFont="1"/>
    <xf numFmtId="0" fontId="4" fillId="4" borderId="9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/>
    <xf numFmtId="0" fontId="7" fillId="6" borderId="1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4" fillId="6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4" fillId="6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0" fillId="0" borderId="11" xfId="0" applyBorder="1"/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9">
    <cellStyle name="Normal 2" xfId="3" xr:uid="{A39DCCC4-0825-4C4B-8566-F70BD1287342}"/>
    <cellStyle name="Normal 3" xfId="4" xr:uid="{C9D3041F-2F98-42F2-A0A9-26F1FB91F53A}"/>
    <cellStyle name="Обычный" xfId="0" builtinId="0"/>
    <cellStyle name="Обычный 2" xfId="1" xr:uid="{C71021D8-305B-40EF-9566-7087C118BED4}"/>
    <cellStyle name="Обычный 2 2" xfId="8" xr:uid="{D418ADE3-1667-4ADE-9BE3-3E9E16328FA8}"/>
    <cellStyle name="Обычный 2 3" xfId="5" xr:uid="{59B4805F-9A6D-4EF4-AE5E-1101029F5BFE}"/>
    <cellStyle name="Обычный 3" xfId="6" xr:uid="{4772F969-A8B4-4A46-980D-A58A908B282E}"/>
    <cellStyle name="Обычный 4" xfId="7" xr:uid="{8A35EC53-01C2-434D-A621-FF2DF89D45CA}"/>
    <cellStyle name="Обычный 5" xfId="2" xr:uid="{2EEB91DB-591C-4B74-BD16-07D564EC5C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tahlil!$M$6</c:f>
              <c:strCache>
                <c:ptCount val="1"/>
                <c:pt idx="0">
                  <c:v>o'rtacha ball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tahlil!$N$5:$Q$5</c:f>
              <c:strCache>
                <c:ptCount val="4"/>
                <c:pt idx="0">
                  <c:v>1-chorak</c:v>
                </c:pt>
                <c:pt idx="1">
                  <c:v>2-chorak</c:v>
                </c:pt>
                <c:pt idx="2">
                  <c:v>3-chorak</c:v>
                </c:pt>
                <c:pt idx="3">
                  <c:v>4-chorak</c:v>
                </c:pt>
              </c:strCache>
            </c:strRef>
          </c:cat>
          <c:val>
            <c:numRef>
              <c:f>tahlil!$N$6:$Q$6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9-4F67-ABDB-BB6BC02BE6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17823311"/>
        <c:axId val="1017817071"/>
      </c:barChart>
      <c:catAx>
        <c:axId val="101782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7817071"/>
        <c:crosses val="autoZero"/>
        <c:auto val="1"/>
        <c:lblAlgn val="ctr"/>
        <c:lblOffset val="100"/>
        <c:noMultiLvlLbl val="0"/>
      </c:catAx>
      <c:valAx>
        <c:axId val="1017817071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01782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420413</xdr:colOff>
      <xdr:row>10</xdr:row>
      <xdr:rowOff>57151</xdr:rowOff>
    </xdr:from>
    <xdr:to>
      <xdr:col>10</xdr:col>
      <xdr:colOff>6568</xdr:colOff>
      <xdr:row>24</xdr:row>
      <xdr:rowOff>133351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360631D-9D82-825D-6F9B-DF2CB7D2A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180B-6AEE-4A4C-B8F5-6D1D66B7C6A2}">
  <sheetPr codeName="Worksheet____1"/>
  <dimension ref="A1:CI206"/>
  <sheetViews>
    <sheetView tabSelected="1" view="pageBreakPreview" topLeftCell="C1" zoomScaleNormal="115" zoomScaleSheetLayoutView="100" workbookViewId="0">
      <selection activeCell="C6" sqref="C6"/>
    </sheetView>
  </sheetViews>
  <sheetFormatPr defaultColWidth="8" defaultRowHeight="18"/>
  <cols>
    <col min="1" max="1" width="5.5" style="12" customWidth="1"/>
    <col min="2" max="2" width="4.25" style="12" customWidth="1"/>
    <col min="3" max="3" width="28.25" style="12" customWidth="1"/>
    <col min="4" max="4" width="8.625" style="12" customWidth="1"/>
    <col min="5" max="10" width="7.625" style="12" customWidth="1"/>
    <col min="11" max="12" width="9.75" style="12" hidden="1" customWidth="1"/>
    <col min="13" max="13" width="1.875" style="12" hidden="1" customWidth="1"/>
    <col min="14" max="14" width="9.75" style="12" customWidth="1"/>
    <col min="15" max="15" width="8.375" style="12" bestFit="1" customWidth="1"/>
    <col min="16" max="16" width="8.75" style="12" customWidth="1"/>
    <col min="17" max="18" width="8" style="12"/>
    <col min="19" max="19" width="34.125" style="12" customWidth="1"/>
    <col min="20" max="24" width="8.5" style="12" customWidth="1"/>
    <col min="25" max="26" width="8.5" style="12" hidden="1" customWidth="1"/>
    <col min="27" max="27" width="8.5" style="12" customWidth="1"/>
    <col min="28" max="28" width="11.875" style="12" customWidth="1"/>
    <col min="29" max="29" width="8" style="12"/>
    <col min="30" max="30" width="34.125" style="12" customWidth="1"/>
    <col min="31" max="35" width="8.5" style="12" customWidth="1"/>
    <col min="36" max="37" width="8.5" style="12" hidden="1" customWidth="1"/>
    <col min="38" max="38" width="8.5" style="12" customWidth="1"/>
    <col min="39" max="39" width="11.875" style="12" customWidth="1"/>
    <col min="40" max="40" width="8" style="12"/>
    <col min="41" max="41" width="34.125" style="12" customWidth="1"/>
    <col min="42" max="46" width="8.5" style="12" customWidth="1"/>
    <col min="47" max="48" width="8.5" style="12" hidden="1" customWidth="1"/>
    <col min="49" max="49" width="8.5" style="12" customWidth="1"/>
    <col min="50" max="50" width="11.875" style="12" customWidth="1"/>
    <col min="51" max="51" width="8" style="12"/>
    <col min="52" max="52" width="34.125" style="12" customWidth="1"/>
    <col min="53" max="57" width="8.5" style="12" customWidth="1"/>
    <col min="58" max="59" width="8.5" style="12" hidden="1" customWidth="1"/>
    <col min="60" max="60" width="8.5" style="12" customWidth="1"/>
    <col min="61" max="61" width="11.875" style="12" customWidth="1"/>
    <col min="62" max="62" width="5.25" style="12" customWidth="1"/>
    <col min="63" max="63" width="25.25" style="12" customWidth="1"/>
    <col min="64" max="78" width="4.125" style="12" customWidth="1"/>
    <col min="79" max="79" width="6.125" style="12" customWidth="1"/>
    <col min="80" max="80" width="8.625" style="12" customWidth="1"/>
    <col min="81" max="81" width="5.25" style="12" customWidth="1"/>
    <col min="82" max="82" width="39.125" style="12" customWidth="1"/>
    <col min="83" max="85" width="17.25" style="12" customWidth="1"/>
    <col min="86" max="86" width="6.125" style="12" customWidth="1"/>
    <col min="87" max="87" width="8.625" style="12" customWidth="1"/>
    <col min="88" max="16384" width="8" style="12"/>
  </cols>
  <sheetData>
    <row r="1" spans="2:87" ht="44.25" customHeight="1">
      <c r="B1" s="69" t="s">
        <v>17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R1" s="69" t="s">
        <v>18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9" t="s">
        <v>18</v>
      </c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9" t="s">
        <v>18</v>
      </c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9" t="s">
        <v>18</v>
      </c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9" t="s">
        <v>19</v>
      </c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9" t="s">
        <v>19</v>
      </c>
      <c r="CD1" s="68"/>
      <c r="CE1" s="68"/>
      <c r="CF1" s="68"/>
      <c r="CG1" s="68"/>
      <c r="CH1" s="68"/>
      <c r="CI1" s="68"/>
    </row>
    <row r="2" spans="2:87" ht="25.5" customHeight="1">
      <c r="B2" s="43" t="s">
        <v>16</v>
      </c>
      <c r="C2" s="43"/>
      <c r="D2" s="44" t="s">
        <v>0</v>
      </c>
      <c r="E2" s="47"/>
      <c r="F2" s="44" t="s">
        <v>2</v>
      </c>
      <c r="G2" s="47"/>
      <c r="H2" s="43"/>
      <c r="I2" s="43"/>
      <c r="J2" s="43"/>
      <c r="K2" s="43"/>
      <c r="L2" s="43"/>
      <c r="M2" s="43"/>
      <c r="N2" s="43"/>
      <c r="O2" s="43"/>
      <c r="R2" s="13" t="str">
        <f>$B$2</f>
        <v>fan</v>
      </c>
      <c r="S2" s="14">
        <f>$C$2</f>
        <v>0</v>
      </c>
      <c r="T2" s="13" t="str">
        <f>$D$2</f>
        <v>chorak</v>
      </c>
      <c r="U2" s="14">
        <f>$E$2</f>
        <v>0</v>
      </c>
      <c r="V2" s="13" t="str">
        <f>$F$2</f>
        <v xml:space="preserve">sinf </v>
      </c>
      <c r="W2" s="14">
        <f>$G$2</f>
        <v>0</v>
      </c>
      <c r="X2" s="15"/>
      <c r="Y2" s="15"/>
      <c r="Z2" s="15"/>
      <c r="AA2" s="15" t="b">
        <f>IF(MAX(AA6:AA45)&gt;40,50,IF(MAX(AA6:AA45)&gt;20,25,IF(MAX(AA6:AA45)&gt;15,20,IF(MAX(AA6:AA45)&gt;8,10))))</f>
        <v>0</v>
      </c>
      <c r="AB2" s="16" t="s">
        <v>20</v>
      </c>
      <c r="AC2" s="13" t="str">
        <f>$B$2</f>
        <v>fan</v>
      </c>
      <c r="AD2" s="14">
        <f>$C$2</f>
        <v>0</v>
      </c>
      <c r="AE2" s="13" t="str">
        <f>$D$2</f>
        <v>chorak</v>
      </c>
      <c r="AF2" s="14">
        <f>$E$2</f>
        <v>0</v>
      </c>
      <c r="AG2" s="13" t="str">
        <f>$F$2</f>
        <v xml:space="preserve">sinf </v>
      </c>
      <c r="AH2" s="14">
        <f>$G$2</f>
        <v>0</v>
      </c>
      <c r="AI2" s="15"/>
      <c r="AJ2" s="15"/>
      <c r="AK2" s="15"/>
      <c r="AL2" s="15" t="b">
        <f>IF(MAX(AL6:AL45)&gt;40,50,IF(MAX(AL6:AL45)&gt;20,25,IF(MAX(AL6:AL45)&gt;15,20,IF(MAX(AL6:AL45)&gt;8,10))))</f>
        <v>0</v>
      </c>
      <c r="AM2" s="16" t="s">
        <v>20</v>
      </c>
      <c r="AN2" s="13" t="str">
        <f>$B$2</f>
        <v>fan</v>
      </c>
      <c r="AO2" s="14">
        <f>$C$2</f>
        <v>0</v>
      </c>
      <c r="AP2" s="13" t="str">
        <f>$D$2</f>
        <v>chorak</v>
      </c>
      <c r="AQ2" s="14">
        <f>$E$2</f>
        <v>0</v>
      </c>
      <c r="AR2" s="13" t="str">
        <f>$F$2</f>
        <v xml:space="preserve">sinf </v>
      </c>
      <c r="AS2" s="14">
        <f>$G$2</f>
        <v>0</v>
      </c>
      <c r="AT2" s="15"/>
      <c r="AU2" s="15"/>
      <c r="AV2" s="15"/>
      <c r="AW2" s="15" t="b">
        <f>IF(MAX(AW6:AW45)&gt;40,50,IF(MAX(AW6:AW45)&gt;20,25,IF(MAX(AW6:AW45)&gt;15,20,IF(MAX(AW6:AW45)&gt;8,10))))</f>
        <v>0</v>
      </c>
      <c r="AX2" s="16" t="s">
        <v>20</v>
      </c>
      <c r="AY2" s="13" t="str">
        <f>$B$2</f>
        <v>fan</v>
      </c>
      <c r="AZ2" s="14">
        <f>$C$2</f>
        <v>0</v>
      </c>
      <c r="BA2" s="13" t="str">
        <f>$D$2</f>
        <v>chorak</v>
      </c>
      <c r="BB2" s="14">
        <f>$E$2</f>
        <v>0</v>
      </c>
      <c r="BC2" s="13" t="str">
        <f>$F$2</f>
        <v xml:space="preserve">sinf </v>
      </c>
      <c r="BD2" s="14">
        <f>$G$2</f>
        <v>0</v>
      </c>
      <c r="BE2" s="15"/>
      <c r="BF2" s="15"/>
      <c r="BG2" s="15"/>
      <c r="BH2" s="15" t="b">
        <f>IF(MAX(BH6:BH45)&gt;40,50,IF(MAX(BH6:BH45)&gt;20,25,IF(MAX(BH6:BH45)&gt;15,20,IF(MAX(BH6:BH45)&gt;8,10))))</f>
        <v>0</v>
      </c>
      <c r="BI2" s="16" t="s">
        <v>20</v>
      </c>
      <c r="BJ2" s="17" t="s">
        <v>16</v>
      </c>
      <c r="BK2" s="18">
        <f>$C$2</f>
        <v>0</v>
      </c>
      <c r="BL2" s="70" t="s">
        <v>0</v>
      </c>
      <c r="BM2" s="68"/>
      <c r="BN2" s="68"/>
      <c r="BO2" s="18">
        <f>$E$2</f>
        <v>0</v>
      </c>
      <c r="BP2" s="19"/>
      <c r="BQ2" s="17"/>
      <c r="BR2" s="70" t="s">
        <v>2</v>
      </c>
      <c r="BS2" s="68"/>
      <c r="BT2" s="70">
        <f>$G$2</f>
        <v>0</v>
      </c>
      <c r="BU2" s="68"/>
      <c r="BV2" s="68"/>
      <c r="BW2" s="18"/>
      <c r="BX2" s="19"/>
      <c r="BY2" s="17"/>
      <c r="BZ2" s="18"/>
      <c r="CA2" s="18">
        <v>40</v>
      </c>
      <c r="CB2" s="20" t="s">
        <v>20</v>
      </c>
      <c r="CC2" s="17" t="s">
        <v>16</v>
      </c>
      <c r="CD2" s="18">
        <f>$C$2</f>
        <v>0</v>
      </c>
      <c r="CE2" s="19" t="str">
        <f>"chorak: "&amp;$E$2</f>
        <v xml:space="preserve">chorak: </v>
      </c>
      <c r="CF2" s="18"/>
      <c r="CG2" s="19" t="str">
        <f>"sinf: "&amp; $G$2</f>
        <v xml:space="preserve">sinf: </v>
      </c>
      <c r="CH2" s="18">
        <v>40</v>
      </c>
      <c r="CI2" s="20" t="s">
        <v>20</v>
      </c>
    </row>
    <row r="3" spans="2:87" ht="18.75">
      <c r="B3" s="67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R3" s="67"/>
      <c r="S3" s="68"/>
      <c r="T3" s="68"/>
      <c r="U3" s="68"/>
      <c r="V3" s="68"/>
      <c r="W3" s="68"/>
      <c r="X3" s="68"/>
      <c r="Y3" s="68"/>
      <c r="Z3" s="68"/>
      <c r="AA3" s="68"/>
      <c r="AC3" s="67"/>
      <c r="AD3" s="68"/>
      <c r="AE3" s="68"/>
      <c r="AF3" s="68"/>
      <c r="AG3" s="68"/>
      <c r="AH3" s="68"/>
      <c r="AI3" s="68"/>
      <c r="AJ3" s="68"/>
      <c r="AK3" s="68"/>
      <c r="AL3" s="68"/>
      <c r="AN3" s="67"/>
      <c r="AO3" s="68"/>
      <c r="AP3" s="68"/>
      <c r="AQ3" s="68"/>
      <c r="AR3" s="68"/>
      <c r="AS3" s="68"/>
      <c r="AT3" s="68"/>
      <c r="AU3" s="68"/>
      <c r="AV3" s="68"/>
      <c r="AW3" s="68"/>
      <c r="AY3" s="67"/>
      <c r="AZ3" s="68"/>
      <c r="BA3" s="68"/>
      <c r="BB3" s="68"/>
      <c r="BC3" s="68"/>
      <c r="BD3" s="68"/>
      <c r="BE3" s="68"/>
      <c r="BF3" s="68"/>
      <c r="BG3" s="68"/>
      <c r="BH3" s="68"/>
      <c r="BJ3" s="67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C3" s="67"/>
      <c r="CD3" s="68"/>
      <c r="CE3" s="68"/>
      <c r="CF3" s="68"/>
      <c r="CG3" s="68"/>
      <c r="CH3" s="68"/>
    </row>
    <row r="4" spans="2:87" ht="18" customHeight="1">
      <c r="B4" s="71" t="s">
        <v>21</v>
      </c>
      <c r="C4" s="71" t="s">
        <v>22</v>
      </c>
      <c r="D4" s="71" t="s">
        <v>23</v>
      </c>
      <c r="E4" s="60"/>
      <c r="F4" s="60"/>
      <c r="G4" s="60"/>
      <c r="H4" s="60"/>
      <c r="I4" s="60"/>
      <c r="J4" s="58"/>
      <c r="K4" s="46"/>
      <c r="L4" s="46"/>
      <c r="M4" s="46"/>
      <c r="N4" s="46"/>
      <c r="O4" s="71" t="s">
        <v>24</v>
      </c>
      <c r="P4" s="72" t="s">
        <v>16</v>
      </c>
      <c r="Q4" s="74" t="str">
        <f>IF(ISBLANK(C2),"",C2)</f>
        <v/>
      </c>
      <c r="R4" s="66" t="s">
        <v>21</v>
      </c>
      <c r="S4" s="66" t="s">
        <v>22</v>
      </c>
      <c r="T4" s="62" t="s">
        <v>25</v>
      </c>
      <c r="U4" s="60"/>
      <c r="V4" s="60"/>
      <c r="W4" s="60"/>
      <c r="X4" s="60"/>
      <c r="Y4" s="60"/>
      <c r="Z4" s="60"/>
      <c r="AA4" s="63" t="s">
        <v>26</v>
      </c>
      <c r="AB4" s="65" t="s">
        <v>27</v>
      </c>
      <c r="AC4" s="66" t="s">
        <v>21</v>
      </c>
      <c r="AD4" s="66" t="s">
        <v>22</v>
      </c>
      <c r="AE4" s="62" t="s">
        <v>25</v>
      </c>
      <c r="AF4" s="60"/>
      <c r="AG4" s="60"/>
      <c r="AH4" s="60"/>
      <c r="AI4" s="60"/>
      <c r="AJ4" s="60"/>
      <c r="AK4" s="60"/>
      <c r="AL4" s="63" t="s">
        <v>26</v>
      </c>
      <c r="AM4" s="65" t="s">
        <v>27</v>
      </c>
      <c r="AN4" s="66" t="s">
        <v>21</v>
      </c>
      <c r="AO4" s="66" t="s">
        <v>22</v>
      </c>
      <c r="AP4" s="62" t="s">
        <v>25</v>
      </c>
      <c r="AQ4" s="60"/>
      <c r="AR4" s="60"/>
      <c r="AS4" s="60"/>
      <c r="AT4" s="60"/>
      <c r="AU4" s="60"/>
      <c r="AV4" s="60"/>
      <c r="AW4" s="63" t="s">
        <v>26</v>
      </c>
      <c r="AX4" s="65" t="s">
        <v>27</v>
      </c>
      <c r="AY4" s="66" t="s">
        <v>21</v>
      </c>
      <c r="AZ4" s="66" t="s">
        <v>22</v>
      </c>
      <c r="BA4" s="62" t="s">
        <v>25</v>
      </c>
      <c r="BB4" s="60"/>
      <c r="BC4" s="60"/>
      <c r="BD4" s="60"/>
      <c r="BE4" s="60"/>
      <c r="BF4" s="60"/>
      <c r="BG4" s="60"/>
      <c r="BH4" s="63" t="s">
        <v>26</v>
      </c>
      <c r="BI4" s="65" t="s">
        <v>27</v>
      </c>
      <c r="BJ4" s="61" t="s">
        <v>21</v>
      </c>
      <c r="BK4" s="61" t="s">
        <v>22</v>
      </c>
      <c r="BL4" s="61" t="s">
        <v>25</v>
      </c>
      <c r="BM4" s="60"/>
      <c r="BN4" s="60"/>
      <c r="BO4" s="60"/>
      <c r="BP4" s="60"/>
      <c r="BQ4" s="60"/>
      <c r="BR4" s="60"/>
      <c r="BS4" s="60"/>
      <c r="BT4" s="60"/>
      <c r="BU4" s="60"/>
      <c r="BV4" s="60"/>
      <c r="BW4" s="60"/>
      <c r="BX4" s="60"/>
      <c r="BY4" s="60"/>
      <c r="BZ4" s="58"/>
      <c r="CA4" s="61" t="s">
        <v>28</v>
      </c>
      <c r="CB4" s="55" t="s">
        <v>27</v>
      </c>
      <c r="CC4" s="61" t="s">
        <v>21</v>
      </c>
      <c r="CD4" s="61" t="s">
        <v>22</v>
      </c>
      <c r="CE4" s="59" t="s">
        <v>25</v>
      </c>
      <c r="CF4" s="60"/>
      <c r="CG4" s="60"/>
      <c r="CH4" s="61" t="s">
        <v>28</v>
      </c>
      <c r="CI4" s="55" t="s">
        <v>27</v>
      </c>
    </row>
    <row r="5" spans="2:87" ht="52.15" customHeight="1">
      <c r="B5" s="56"/>
      <c r="C5" s="56"/>
      <c r="D5" s="51" t="s">
        <v>29</v>
      </c>
      <c r="E5" s="51" t="s">
        <v>29</v>
      </c>
      <c r="F5" s="51" t="s">
        <v>29</v>
      </c>
      <c r="G5" s="51" t="s">
        <v>30</v>
      </c>
      <c r="H5" s="51" t="s">
        <v>31</v>
      </c>
      <c r="I5" s="51" t="s">
        <v>32</v>
      </c>
      <c r="J5" s="51" t="s">
        <v>33</v>
      </c>
      <c r="K5" s="51"/>
      <c r="L5" s="51"/>
      <c r="M5" s="51"/>
      <c r="N5" s="51" t="s">
        <v>34</v>
      </c>
      <c r="O5" s="56"/>
      <c r="P5" s="73"/>
      <c r="Q5" s="75"/>
      <c r="R5" s="56"/>
      <c r="S5" s="56"/>
      <c r="T5" s="21">
        <v>1</v>
      </c>
      <c r="U5" s="21">
        <v>2</v>
      </c>
      <c r="V5" s="21">
        <v>3</v>
      </c>
      <c r="W5" s="21">
        <v>4</v>
      </c>
      <c r="X5" s="21">
        <v>5</v>
      </c>
      <c r="Y5" s="21">
        <v>6</v>
      </c>
      <c r="Z5" s="21">
        <v>7</v>
      </c>
      <c r="AA5" s="64"/>
      <c r="AB5" s="56"/>
      <c r="AC5" s="56"/>
      <c r="AD5" s="56"/>
      <c r="AE5" s="21">
        <v>1</v>
      </c>
      <c r="AF5" s="21">
        <v>2</v>
      </c>
      <c r="AG5" s="21">
        <v>3</v>
      </c>
      <c r="AH5" s="21">
        <v>4</v>
      </c>
      <c r="AI5" s="21">
        <v>5</v>
      </c>
      <c r="AJ5" s="21">
        <v>6</v>
      </c>
      <c r="AK5" s="21">
        <v>7</v>
      </c>
      <c r="AL5" s="64"/>
      <c r="AM5" s="56"/>
      <c r="AN5" s="56"/>
      <c r="AO5" s="56"/>
      <c r="AP5" s="21">
        <v>1</v>
      </c>
      <c r="AQ5" s="21">
        <v>2</v>
      </c>
      <c r="AR5" s="21">
        <v>3</v>
      </c>
      <c r="AS5" s="21">
        <v>4</v>
      </c>
      <c r="AT5" s="21">
        <v>5</v>
      </c>
      <c r="AU5" s="21">
        <v>6</v>
      </c>
      <c r="AV5" s="21">
        <v>7</v>
      </c>
      <c r="AW5" s="64"/>
      <c r="AX5" s="56"/>
      <c r="AY5" s="56"/>
      <c r="AZ5" s="56"/>
      <c r="BA5" s="21">
        <v>1</v>
      </c>
      <c r="BB5" s="21">
        <v>2</v>
      </c>
      <c r="BC5" s="21">
        <v>3</v>
      </c>
      <c r="BD5" s="21">
        <v>4</v>
      </c>
      <c r="BE5" s="21">
        <v>5</v>
      </c>
      <c r="BF5" s="21">
        <v>6</v>
      </c>
      <c r="BG5" s="21">
        <v>7</v>
      </c>
      <c r="BH5" s="64"/>
      <c r="BI5" s="56"/>
      <c r="BJ5" s="56"/>
      <c r="BK5" s="56"/>
      <c r="BL5" s="22">
        <v>1</v>
      </c>
      <c r="BM5" s="22">
        <v>2</v>
      </c>
      <c r="BN5" s="22">
        <v>3</v>
      </c>
      <c r="BO5" s="22">
        <v>4</v>
      </c>
      <c r="BP5" s="22">
        <v>5</v>
      </c>
      <c r="BQ5" s="22">
        <v>6</v>
      </c>
      <c r="BR5" s="22">
        <v>7</v>
      </c>
      <c r="BS5" s="22">
        <v>8</v>
      </c>
      <c r="BT5" s="22">
        <v>9</v>
      </c>
      <c r="BU5" s="22">
        <v>10</v>
      </c>
      <c r="BV5" s="22">
        <v>11</v>
      </c>
      <c r="BW5" s="22">
        <v>12</v>
      </c>
      <c r="BX5" s="22">
        <v>13</v>
      </c>
      <c r="BY5" s="22">
        <v>14</v>
      </c>
      <c r="BZ5" s="22">
        <v>15</v>
      </c>
      <c r="CA5" s="56"/>
      <c r="CB5" s="56"/>
      <c r="CC5" s="56"/>
      <c r="CD5" s="56"/>
      <c r="CE5" s="22" t="s">
        <v>35</v>
      </c>
      <c r="CF5" s="22" t="s">
        <v>36</v>
      </c>
      <c r="CG5" s="22" t="s">
        <v>37</v>
      </c>
      <c r="CH5" s="56"/>
      <c r="CI5" s="56"/>
    </row>
    <row r="6" spans="2:87" ht="21.75" customHeight="1">
      <c r="B6" s="38">
        <v>1</v>
      </c>
      <c r="C6" s="41"/>
      <c r="D6" s="45"/>
      <c r="E6" s="45"/>
      <c r="F6" s="45"/>
      <c r="G6" s="45"/>
      <c r="H6" s="45"/>
      <c r="I6" s="45"/>
      <c r="J6" s="45"/>
      <c r="K6" s="53"/>
      <c r="L6" s="53"/>
      <c r="M6" s="53"/>
      <c r="N6" s="45"/>
      <c r="O6" s="45"/>
      <c r="P6" s="29" t="s">
        <v>10</v>
      </c>
      <c r="Q6" s="32" t="str">
        <f>IF(ISBLANK(G2),"",G2)</f>
        <v/>
      </c>
      <c r="R6" s="4">
        <f t="shared" ref="R6:R45" si="0">IF(ISBLANK($B6),"",$B6)</f>
        <v>1</v>
      </c>
      <c r="S6" s="1" t="str">
        <f t="shared" ref="S6:S45" si="1">IF(ISBLANK($C6),"",$C6)</f>
        <v/>
      </c>
      <c r="T6" s="4"/>
      <c r="U6" s="4"/>
      <c r="V6" s="4"/>
      <c r="W6" s="4"/>
      <c r="X6" s="4"/>
      <c r="Y6" s="4"/>
      <c r="Z6" s="4"/>
      <c r="AA6" s="2" t="str">
        <f t="shared" ref="AA6:AA45" si="2">IF(ISBLANK($D6),"",$D6)</f>
        <v/>
      </c>
      <c r="AB6" s="2" t="str">
        <f t="shared" ref="AB6:AB45" si="3">IF(OR(ISBLANK(AA6),AA6=""),"",AA6*100/AA$2)</f>
        <v/>
      </c>
      <c r="AC6" s="4">
        <f t="shared" ref="AC6:AC45" si="4">IF(ISBLANK($B6),"",$B6)</f>
        <v>1</v>
      </c>
      <c r="AD6" s="1" t="str">
        <f t="shared" ref="AD6:AD45" si="5">IF(ISBLANK($C6),"",$C6)</f>
        <v/>
      </c>
      <c r="AE6" s="4"/>
      <c r="AF6" s="4"/>
      <c r="AG6" s="4"/>
      <c r="AH6" s="4"/>
      <c r="AI6" s="4"/>
      <c r="AJ6" s="4"/>
      <c r="AK6" s="4"/>
      <c r="AL6" s="2" t="str">
        <f t="shared" ref="AL6:AL45" si="6">IF(ISBLANK($E6),"",$E6)</f>
        <v/>
      </c>
      <c r="AM6" s="2" t="str">
        <f t="shared" ref="AM6:AM45" si="7">IF(OR(ISBLANK(AL6),AL6=""),"",AL6*100/AL$2)</f>
        <v/>
      </c>
      <c r="AN6" s="4">
        <f t="shared" ref="AN6:AN45" si="8">IF(ISBLANK($B6),"",$B6)</f>
        <v>1</v>
      </c>
      <c r="AO6" s="1" t="str">
        <f t="shared" ref="AO6:AO45" si="9">IF(ISBLANK($C6),"",$C6)</f>
        <v/>
      </c>
      <c r="AP6" s="4"/>
      <c r="AQ6" s="4"/>
      <c r="AR6" s="4"/>
      <c r="AS6" s="4"/>
      <c r="AT6" s="4"/>
      <c r="AU6" s="4"/>
      <c r="AV6" s="4"/>
      <c r="AW6" s="2" t="str">
        <f t="shared" ref="AW6:AW45" si="10">IF(ISBLANK($F6),"",$F6)</f>
        <v/>
      </c>
      <c r="AX6" s="23" t="str">
        <f t="shared" ref="AX6:AX45" si="11">IF(OR(ISBLANK(AW6),AW6=""),"",AW6*100/AW$2)</f>
        <v/>
      </c>
      <c r="AY6" s="4">
        <f t="shared" ref="AY6:AY45" si="12">IF(ISBLANK($B6),"",$B6)</f>
        <v>1</v>
      </c>
      <c r="AZ6" s="1" t="str">
        <f t="shared" ref="AZ6:AZ45" si="13">IF(ISBLANK($C6),"",$C6)</f>
        <v/>
      </c>
      <c r="BA6" s="4"/>
      <c r="BB6" s="4"/>
      <c r="BC6" s="4"/>
      <c r="BD6" s="4"/>
      <c r="BE6" s="4"/>
      <c r="BF6" s="4"/>
      <c r="BG6" s="4"/>
      <c r="BH6" s="2" t="str">
        <f t="shared" ref="BH6:BH45" si="14">IF(ISBLANK($G6),"",$G6)</f>
        <v/>
      </c>
      <c r="BI6" s="2" t="str">
        <f t="shared" ref="BI6:BI45" si="15">IF(OR(ISBLANK(BH6),BH6=""),"",BH6*100/BH$2)</f>
        <v/>
      </c>
      <c r="BJ6" s="4">
        <f t="shared" ref="BJ6:BJ45" si="16">IF(ISBLANK($B6),"",$B6)</f>
        <v>1</v>
      </c>
      <c r="BK6" s="1" t="str">
        <f t="shared" ref="BK6:BK45" si="17">IF(ISBLANK($C6),"",$C6)</f>
        <v/>
      </c>
      <c r="BL6" s="23"/>
      <c r="BM6" s="23"/>
      <c r="BN6" s="23"/>
      <c r="BO6" s="4"/>
      <c r="BP6" s="24"/>
      <c r="BQ6" s="23"/>
      <c r="BR6" s="4"/>
      <c r="BS6" s="24"/>
      <c r="BT6" s="23"/>
      <c r="BU6" s="23"/>
      <c r="BV6" s="23"/>
      <c r="BW6" s="4"/>
      <c r="BX6" s="24"/>
      <c r="BY6" s="23"/>
      <c r="BZ6" s="4"/>
      <c r="CA6" s="2" t="str">
        <f t="shared" ref="CA6:CA45" si="18">IF(ISBLANK($I6),"",$I6)</f>
        <v/>
      </c>
      <c r="CB6" s="2" t="str">
        <f t="shared" ref="CB6:CB43" si="19">IF(OR(ISBLANK(CA6),CA6=""),"",CA6*100/CA$2)</f>
        <v/>
      </c>
      <c r="CC6" s="4">
        <f t="shared" ref="CC6:CC45" si="20">IF(ISBLANK($B6),"",$B6)</f>
        <v>1</v>
      </c>
      <c r="CD6" s="1" t="str">
        <f t="shared" ref="CD6:CD45" si="21">IF(ISBLANK($C6),"",$C6)</f>
        <v/>
      </c>
      <c r="CE6" s="23"/>
      <c r="CF6" s="4"/>
      <c r="CG6" s="4"/>
      <c r="CH6" s="2" t="str">
        <f t="shared" ref="CH6:CH45" si="22">IF(ISBLANK($I6),"",$I6)</f>
        <v/>
      </c>
      <c r="CI6" s="2" t="str">
        <f t="shared" ref="CI6:CI43" si="23">IF(OR(ISBLANK(CH6),CH6=""),"",CH6*100/CH$2)</f>
        <v/>
      </c>
    </row>
    <row r="7" spans="2:87" ht="21.75" customHeight="1">
      <c r="B7" s="38">
        <v>2</v>
      </c>
      <c r="C7" s="41"/>
      <c r="D7" s="45"/>
      <c r="E7" s="45"/>
      <c r="F7" s="45"/>
      <c r="G7" s="45"/>
      <c r="H7" s="45"/>
      <c r="I7" s="45"/>
      <c r="J7" s="45"/>
      <c r="K7" s="53"/>
      <c r="L7" s="53"/>
      <c r="M7" s="53"/>
      <c r="N7" s="45"/>
      <c r="O7" s="45"/>
      <c r="P7" s="29" t="s">
        <v>11</v>
      </c>
      <c r="Q7" s="32">
        <v>1</v>
      </c>
      <c r="R7" s="4">
        <f t="shared" si="0"/>
        <v>2</v>
      </c>
      <c r="S7" s="1" t="str">
        <f t="shared" si="1"/>
        <v/>
      </c>
      <c r="T7" s="4"/>
      <c r="U7" s="4"/>
      <c r="V7" s="4"/>
      <c r="W7" s="4"/>
      <c r="X7" s="4"/>
      <c r="Y7" s="4"/>
      <c r="Z7" s="4"/>
      <c r="AA7" s="2" t="str">
        <f t="shared" si="2"/>
        <v/>
      </c>
      <c r="AB7" s="2" t="str">
        <f t="shared" si="3"/>
        <v/>
      </c>
      <c r="AC7" s="4">
        <f t="shared" si="4"/>
        <v>2</v>
      </c>
      <c r="AD7" s="1" t="str">
        <f t="shared" si="5"/>
        <v/>
      </c>
      <c r="AE7" s="4"/>
      <c r="AF7" s="4"/>
      <c r="AG7" s="4"/>
      <c r="AH7" s="4"/>
      <c r="AI7" s="4"/>
      <c r="AJ7" s="4"/>
      <c r="AK7" s="4"/>
      <c r="AL7" s="2" t="str">
        <f t="shared" si="6"/>
        <v/>
      </c>
      <c r="AM7" s="2" t="str">
        <f t="shared" si="7"/>
        <v/>
      </c>
      <c r="AN7" s="4">
        <f t="shared" si="8"/>
        <v>2</v>
      </c>
      <c r="AO7" s="1" t="str">
        <f t="shared" si="9"/>
        <v/>
      </c>
      <c r="AP7" s="4"/>
      <c r="AQ7" s="4"/>
      <c r="AR7" s="4"/>
      <c r="AS7" s="4"/>
      <c r="AT7" s="4"/>
      <c r="AU7" s="4"/>
      <c r="AV7" s="4"/>
      <c r="AW7" s="2" t="str">
        <f t="shared" si="10"/>
        <v/>
      </c>
      <c r="AX7" s="23" t="str">
        <f t="shared" si="11"/>
        <v/>
      </c>
      <c r="AY7" s="4">
        <f t="shared" si="12"/>
        <v>2</v>
      </c>
      <c r="AZ7" s="1" t="str">
        <f t="shared" si="13"/>
        <v/>
      </c>
      <c r="BA7" s="4"/>
      <c r="BB7" s="4"/>
      <c r="BC7" s="4"/>
      <c r="BD7" s="4"/>
      <c r="BE7" s="4"/>
      <c r="BF7" s="4"/>
      <c r="BG7" s="4"/>
      <c r="BH7" s="2" t="str">
        <f t="shared" si="14"/>
        <v/>
      </c>
      <c r="BI7" s="2" t="str">
        <f t="shared" si="15"/>
        <v/>
      </c>
      <c r="BJ7" s="4">
        <f t="shared" si="16"/>
        <v>2</v>
      </c>
      <c r="BK7" s="1" t="str">
        <f t="shared" si="17"/>
        <v/>
      </c>
      <c r="BL7" s="23"/>
      <c r="BM7" s="23"/>
      <c r="BN7" s="23"/>
      <c r="BO7" s="4"/>
      <c r="BP7" s="24"/>
      <c r="BQ7" s="23"/>
      <c r="BR7" s="4"/>
      <c r="BS7" s="24"/>
      <c r="BT7" s="23"/>
      <c r="BU7" s="23"/>
      <c r="BV7" s="23"/>
      <c r="BW7" s="4"/>
      <c r="BX7" s="24"/>
      <c r="BY7" s="23"/>
      <c r="BZ7" s="4"/>
      <c r="CA7" s="2" t="str">
        <f t="shared" si="18"/>
        <v/>
      </c>
      <c r="CB7" s="2" t="str">
        <f t="shared" si="19"/>
        <v/>
      </c>
      <c r="CC7" s="4">
        <f t="shared" si="20"/>
        <v>2</v>
      </c>
      <c r="CD7" s="1" t="str">
        <f t="shared" si="21"/>
        <v/>
      </c>
      <c r="CE7" s="23"/>
      <c r="CF7" s="4"/>
      <c r="CG7" s="4"/>
      <c r="CH7" s="2" t="str">
        <f t="shared" si="22"/>
        <v/>
      </c>
      <c r="CI7" s="2" t="str">
        <f t="shared" si="23"/>
        <v/>
      </c>
    </row>
    <row r="8" spans="2:87" ht="21.75" customHeight="1">
      <c r="B8" s="38">
        <v>3</v>
      </c>
      <c r="C8" s="41"/>
      <c r="D8" s="45"/>
      <c r="E8" s="45"/>
      <c r="F8" s="45"/>
      <c r="G8" s="45"/>
      <c r="H8" s="45"/>
      <c r="I8" s="45"/>
      <c r="J8" s="45"/>
      <c r="K8" s="53"/>
      <c r="L8" s="53"/>
      <c r="M8" s="53"/>
      <c r="N8" s="45"/>
      <c r="O8" s="45"/>
      <c r="P8" s="30" t="s">
        <v>38</v>
      </c>
      <c r="Q8" s="33" t="str">
        <f>IF(ISBLANK(C6),"",AVERAGE(J6:J45))</f>
        <v/>
      </c>
      <c r="R8" s="4">
        <f t="shared" si="0"/>
        <v>3</v>
      </c>
      <c r="S8" s="1" t="str">
        <f t="shared" si="1"/>
        <v/>
      </c>
      <c r="T8" s="4"/>
      <c r="U8" s="4"/>
      <c r="V8" s="4"/>
      <c r="W8" s="4"/>
      <c r="X8" s="4"/>
      <c r="Y8" s="4"/>
      <c r="Z8" s="4"/>
      <c r="AA8" s="2" t="str">
        <f t="shared" si="2"/>
        <v/>
      </c>
      <c r="AB8" s="2" t="str">
        <f t="shared" si="3"/>
        <v/>
      </c>
      <c r="AC8" s="4">
        <f t="shared" si="4"/>
        <v>3</v>
      </c>
      <c r="AD8" s="1" t="str">
        <f t="shared" si="5"/>
        <v/>
      </c>
      <c r="AE8" s="4"/>
      <c r="AF8" s="4"/>
      <c r="AG8" s="4"/>
      <c r="AH8" s="4"/>
      <c r="AI8" s="4"/>
      <c r="AJ8" s="4"/>
      <c r="AK8" s="4"/>
      <c r="AL8" s="2" t="str">
        <f t="shared" si="6"/>
        <v/>
      </c>
      <c r="AM8" s="2" t="str">
        <f t="shared" si="7"/>
        <v/>
      </c>
      <c r="AN8" s="4">
        <f t="shared" si="8"/>
        <v>3</v>
      </c>
      <c r="AO8" s="1" t="str">
        <f t="shared" si="9"/>
        <v/>
      </c>
      <c r="AP8" s="4"/>
      <c r="AQ8" s="4"/>
      <c r="AR8" s="4"/>
      <c r="AS8" s="4"/>
      <c r="AT8" s="4"/>
      <c r="AU8" s="4"/>
      <c r="AV8" s="4"/>
      <c r="AW8" s="2" t="str">
        <f t="shared" si="10"/>
        <v/>
      </c>
      <c r="AX8" s="23" t="str">
        <f t="shared" si="11"/>
        <v/>
      </c>
      <c r="AY8" s="4">
        <f t="shared" si="12"/>
        <v>3</v>
      </c>
      <c r="AZ8" s="1" t="str">
        <f t="shared" si="13"/>
        <v/>
      </c>
      <c r="BA8" s="4"/>
      <c r="BB8" s="4"/>
      <c r="BC8" s="4"/>
      <c r="BD8" s="4"/>
      <c r="BE8" s="4"/>
      <c r="BF8" s="4"/>
      <c r="BG8" s="4"/>
      <c r="BH8" s="2" t="str">
        <f t="shared" si="14"/>
        <v/>
      </c>
      <c r="BI8" s="2" t="str">
        <f t="shared" si="15"/>
        <v/>
      </c>
      <c r="BJ8" s="4">
        <f t="shared" si="16"/>
        <v>3</v>
      </c>
      <c r="BK8" s="1" t="str">
        <f t="shared" si="17"/>
        <v/>
      </c>
      <c r="BL8" s="23"/>
      <c r="BM8" s="23"/>
      <c r="BN8" s="23"/>
      <c r="BO8" s="4"/>
      <c r="BP8" s="24"/>
      <c r="BQ8" s="23"/>
      <c r="BR8" s="4"/>
      <c r="BS8" s="24"/>
      <c r="BT8" s="23"/>
      <c r="BU8" s="23"/>
      <c r="BV8" s="23"/>
      <c r="BW8" s="4"/>
      <c r="BX8" s="24"/>
      <c r="BY8" s="23"/>
      <c r="BZ8" s="4"/>
      <c r="CA8" s="2" t="str">
        <f t="shared" si="18"/>
        <v/>
      </c>
      <c r="CB8" s="2" t="str">
        <f t="shared" si="19"/>
        <v/>
      </c>
      <c r="CC8" s="4">
        <f t="shared" si="20"/>
        <v>3</v>
      </c>
      <c r="CD8" s="1" t="str">
        <f t="shared" si="21"/>
        <v/>
      </c>
      <c r="CE8" s="23"/>
      <c r="CF8" s="4"/>
      <c r="CG8" s="4"/>
      <c r="CH8" s="2" t="str">
        <f t="shared" si="22"/>
        <v/>
      </c>
      <c r="CI8" s="2" t="str">
        <f t="shared" si="23"/>
        <v/>
      </c>
    </row>
    <row r="9" spans="2:87" ht="21.75" customHeight="1">
      <c r="B9" s="38">
        <v>4</v>
      </c>
      <c r="C9" s="41"/>
      <c r="D9" s="45"/>
      <c r="E9" s="45"/>
      <c r="F9" s="45"/>
      <c r="G9" s="45"/>
      <c r="H9" s="45"/>
      <c r="I9" s="45"/>
      <c r="J9" s="45"/>
      <c r="K9" s="53"/>
      <c r="L9" s="53"/>
      <c r="M9" s="53"/>
      <c r="N9" s="45"/>
      <c r="O9" s="45"/>
      <c r="P9" s="30" t="s">
        <v>42</v>
      </c>
      <c r="Q9" s="32" t="str">
        <f>IF(ISBLANK(C6),"",COUNTIF(O6:O45,5))</f>
        <v/>
      </c>
      <c r="R9" s="4">
        <f t="shared" si="0"/>
        <v>4</v>
      </c>
      <c r="S9" s="1" t="str">
        <f t="shared" si="1"/>
        <v/>
      </c>
      <c r="T9" s="4"/>
      <c r="U9" s="4"/>
      <c r="V9" s="4"/>
      <c r="W9" s="4"/>
      <c r="X9" s="4"/>
      <c r="Y9" s="4"/>
      <c r="Z9" s="4"/>
      <c r="AA9" s="2" t="str">
        <f t="shared" si="2"/>
        <v/>
      </c>
      <c r="AB9" s="2" t="str">
        <f t="shared" si="3"/>
        <v/>
      </c>
      <c r="AC9" s="4">
        <f t="shared" si="4"/>
        <v>4</v>
      </c>
      <c r="AD9" s="1" t="str">
        <f t="shared" si="5"/>
        <v/>
      </c>
      <c r="AE9" s="4"/>
      <c r="AF9" s="4"/>
      <c r="AG9" s="4"/>
      <c r="AH9" s="4"/>
      <c r="AI9" s="4"/>
      <c r="AJ9" s="4"/>
      <c r="AK9" s="4"/>
      <c r="AL9" s="2" t="str">
        <f t="shared" si="6"/>
        <v/>
      </c>
      <c r="AM9" s="2" t="str">
        <f t="shared" si="7"/>
        <v/>
      </c>
      <c r="AN9" s="4">
        <f t="shared" si="8"/>
        <v>4</v>
      </c>
      <c r="AO9" s="1" t="str">
        <f t="shared" si="9"/>
        <v/>
      </c>
      <c r="AP9" s="4"/>
      <c r="AQ9" s="4"/>
      <c r="AR9" s="4"/>
      <c r="AS9" s="4"/>
      <c r="AT9" s="4"/>
      <c r="AU9" s="4"/>
      <c r="AV9" s="4"/>
      <c r="AW9" s="2" t="str">
        <f t="shared" si="10"/>
        <v/>
      </c>
      <c r="AX9" s="23" t="str">
        <f t="shared" si="11"/>
        <v/>
      </c>
      <c r="AY9" s="4">
        <f t="shared" si="12"/>
        <v>4</v>
      </c>
      <c r="AZ9" s="1" t="str">
        <f t="shared" si="13"/>
        <v/>
      </c>
      <c r="BA9" s="4"/>
      <c r="BB9" s="4"/>
      <c r="BC9" s="4"/>
      <c r="BD9" s="4"/>
      <c r="BE9" s="4"/>
      <c r="BF9" s="4"/>
      <c r="BG9" s="4"/>
      <c r="BH9" s="2" t="str">
        <f t="shared" si="14"/>
        <v/>
      </c>
      <c r="BI9" s="2" t="str">
        <f t="shared" si="15"/>
        <v/>
      </c>
      <c r="BJ9" s="4">
        <f t="shared" si="16"/>
        <v>4</v>
      </c>
      <c r="BK9" s="1" t="str">
        <f t="shared" si="17"/>
        <v/>
      </c>
      <c r="BL9" s="23"/>
      <c r="BM9" s="23"/>
      <c r="BN9" s="23"/>
      <c r="BO9" s="4"/>
      <c r="BP9" s="24"/>
      <c r="BQ9" s="23"/>
      <c r="BR9" s="4"/>
      <c r="BS9" s="24"/>
      <c r="BT9" s="23"/>
      <c r="BU9" s="23"/>
      <c r="BV9" s="23"/>
      <c r="BW9" s="4"/>
      <c r="BX9" s="24"/>
      <c r="BY9" s="23"/>
      <c r="BZ9" s="4"/>
      <c r="CA9" s="2" t="str">
        <f t="shared" si="18"/>
        <v/>
      </c>
      <c r="CB9" s="2" t="str">
        <f t="shared" si="19"/>
        <v/>
      </c>
      <c r="CC9" s="4">
        <f t="shared" si="20"/>
        <v>4</v>
      </c>
      <c r="CD9" s="1" t="str">
        <f t="shared" si="21"/>
        <v/>
      </c>
      <c r="CE9" s="23"/>
      <c r="CF9" s="4"/>
      <c r="CG9" s="4"/>
      <c r="CH9" s="2" t="str">
        <f t="shared" si="22"/>
        <v/>
      </c>
      <c r="CI9" s="2" t="str">
        <f t="shared" si="23"/>
        <v/>
      </c>
    </row>
    <row r="10" spans="2:87" ht="21.75" customHeight="1">
      <c r="B10" s="38">
        <v>5</v>
      </c>
      <c r="C10" s="41"/>
      <c r="D10" s="45"/>
      <c r="E10" s="45"/>
      <c r="F10" s="45"/>
      <c r="G10" s="45"/>
      <c r="H10" s="45"/>
      <c r="I10" s="45"/>
      <c r="J10" s="45"/>
      <c r="K10" s="53"/>
      <c r="L10" s="53"/>
      <c r="M10" s="53"/>
      <c r="N10" s="45"/>
      <c r="O10" s="45"/>
      <c r="P10" s="30" t="s">
        <v>43</v>
      </c>
      <c r="Q10" s="32" t="str">
        <f>IF(ISBLANK(C6),"",COUNTIF(O6:O45,4))</f>
        <v/>
      </c>
      <c r="R10" s="4">
        <f t="shared" si="0"/>
        <v>5</v>
      </c>
      <c r="S10" s="1" t="str">
        <f t="shared" si="1"/>
        <v/>
      </c>
      <c r="T10" s="4"/>
      <c r="U10" s="4"/>
      <c r="V10" s="4"/>
      <c r="W10" s="4"/>
      <c r="X10" s="4"/>
      <c r="Y10" s="4"/>
      <c r="Z10" s="4"/>
      <c r="AA10" s="2" t="str">
        <f t="shared" si="2"/>
        <v/>
      </c>
      <c r="AB10" s="2" t="str">
        <f t="shared" si="3"/>
        <v/>
      </c>
      <c r="AC10" s="4">
        <f t="shared" si="4"/>
        <v>5</v>
      </c>
      <c r="AD10" s="1" t="str">
        <f t="shared" si="5"/>
        <v/>
      </c>
      <c r="AE10" s="4"/>
      <c r="AF10" s="4"/>
      <c r="AG10" s="4"/>
      <c r="AH10" s="4"/>
      <c r="AI10" s="4"/>
      <c r="AJ10" s="4"/>
      <c r="AK10" s="4"/>
      <c r="AL10" s="2" t="str">
        <f t="shared" si="6"/>
        <v/>
      </c>
      <c r="AM10" s="2" t="str">
        <f t="shared" si="7"/>
        <v/>
      </c>
      <c r="AN10" s="4">
        <f t="shared" si="8"/>
        <v>5</v>
      </c>
      <c r="AO10" s="1" t="str">
        <f t="shared" si="9"/>
        <v/>
      </c>
      <c r="AP10" s="4"/>
      <c r="AQ10" s="4"/>
      <c r="AR10" s="4"/>
      <c r="AS10" s="4"/>
      <c r="AT10" s="4"/>
      <c r="AU10" s="4"/>
      <c r="AV10" s="4"/>
      <c r="AW10" s="2" t="str">
        <f t="shared" si="10"/>
        <v/>
      </c>
      <c r="AX10" s="23" t="str">
        <f t="shared" si="11"/>
        <v/>
      </c>
      <c r="AY10" s="4">
        <f t="shared" si="12"/>
        <v>5</v>
      </c>
      <c r="AZ10" s="1" t="str">
        <f t="shared" si="13"/>
        <v/>
      </c>
      <c r="BA10" s="4"/>
      <c r="BB10" s="4"/>
      <c r="BC10" s="4"/>
      <c r="BD10" s="4"/>
      <c r="BE10" s="4"/>
      <c r="BF10" s="4"/>
      <c r="BG10" s="4"/>
      <c r="BH10" s="2" t="str">
        <f t="shared" si="14"/>
        <v/>
      </c>
      <c r="BI10" s="2" t="str">
        <f t="shared" si="15"/>
        <v/>
      </c>
      <c r="BJ10" s="4">
        <f t="shared" si="16"/>
        <v>5</v>
      </c>
      <c r="BK10" s="1" t="str">
        <f t="shared" si="17"/>
        <v/>
      </c>
      <c r="BL10" s="23"/>
      <c r="BM10" s="23"/>
      <c r="BN10" s="23"/>
      <c r="BO10" s="4"/>
      <c r="BP10" s="24"/>
      <c r="BQ10" s="23"/>
      <c r="BR10" s="4"/>
      <c r="BS10" s="24"/>
      <c r="BT10" s="23"/>
      <c r="BU10" s="23"/>
      <c r="BV10" s="23"/>
      <c r="BW10" s="4"/>
      <c r="BX10" s="24"/>
      <c r="BY10" s="23"/>
      <c r="BZ10" s="4"/>
      <c r="CA10" s="2" t="str">
        <f t="shared" si="18"/>
        <v/>
      </c>
      <c r="CB10" s="2" t="str">
        <f t="shared" si="19"/>
        <v/>
      </c>
      <c r="CC10" s="4">
        <f t="shared" si="20"/>
        <v>5</v>
      </c>
      <c r="CD10" s="1" t="str">
        <f t="shared" si="21"/>
        <v/>
      </c>
      <c r="CE10" s="23"/>
      <c r="CF10" s="4"/>
      <c r="CG10" s="4"/>
      <c r="CH10" s="2" t="str">
        <f t="shared" si="22"/>
        <v/>
      </c>
      <c r="CI10" s="2" t="str">
        <f t="shared" si="23"/>
        <v/>
      </c>
    </row>
    <row r="11" spans="2:87" ht="21.75" customHeight="1">
      <c r="B11" s="38">
        <v>6</v>
      </c>
      <c r="C11" s="41"/>
      <c r="D11" s="45"/>
      <c r="E11" s="45"/>
      <c r="F11" s="45"/>
      <c r="G11" s="45"/>
      <c r="H11" s="45"/>
      <c r="I11" s="45"/>
      <c r="J11" s="45"/>
      <c r="K11" s="53"/>
      <c r="L11" s="53"/>
      <c r="M11" s="53"/>
      <c r="N11" s="45"/>
      <c r="O11" s="45"/>
      <c r="P11" s="30" t="s">
        <v>44</v>
      </c>
      <c r="Q11" s="32" t="str">
        <f>IF(ISBLANK(C6),"",COUNTIF(O6:O45,3))</f>
        <v/>
      </c>
      <c r="R11" s="4">
        <f t="shared" si="0"/>
        <v>6</v>
      </c>
      <c r="S11" s="1" t="str">
        <f t="shared" si="1"/>
        <v/>
      </c>
      <c r="T11" s="4"/>
      <c r="U11" s="4"/>
      <c r="V11" s="4"/>
      <c r="W11" s="4"/>
      <c r="X11" s="4"/>
      <c r="Y11" s="4"/>
      <c r="Z11" s="4"/>
      <c r="AA11" s="2" t="str">
        <f t="shared" si="2"/>
        <v/>
      </c>
      <c r="AB11" s="2" t="str">
        <f t="shared" si="3"/>
        <v/>
      </c>
      <c r="AC11" s="4">
        <f t="shared" si="4"/>
        <v>6</v>
      </c>
      <c r="AD11" s="1" t="str">
        <f t="shared" si="5"/>
        <v/>
      </c>
      <c r="AE11" s="4"/>
      <c r="AF11" s="4"/>
      <c r="AG11" s="4"/>
      <c r="AH11" s="4"/>
      <c r="AI11" s="4"/>
      <c r="AJ11" s="4"/>
      <c r="AK11" s="4"/>
      <c r="AL11" s="2" t="str">
        <f t="shared" si="6"/>
        <v/>
      </c>
      <c r="AM11" s="2" t="str">
        <f t="shared" si="7"/>
        <v/>
      </c>
      <c r="AN11" s="4">
        <f t="shared" si="8"/>
        <v>6</v>
      </c>
      <c r="AO11" s="1" t="str">
        <f t="shared" si="9"/>
        <v/>
      </c>
      <c r="AP11" s="4"/>
      <c r="AQ11" s="4"/>
      <c r="AR11" s="4"/>
      <c r="AS11" s="4"/>
      <c r="AT11" s="4"/>
      <c r="AU11" s="4"/>
      <c r="AV11" s="4"/>
      <c r="AW11" s="2" t="str">
        <f t="shared" si="10"/>
        <v/>
      </c>
      <c r="AX11" s="23" t="str">
        <f t="shared" si="11"/>
        <v/>
      </c>
      <c r="AY11" s="4">
        <f t="shared" si="12"/>
        <v>6</v>
      </c>
      <c r="AZ11" s="1" t="str">
        <f t="shared" si="13"/>
        <v/>
      </c>
      <c r="BA11" s="4"/>
      <c r="BB11" s="4"/>
      <c r="BC11" s="4"/>
      <c r="BD11" s="4"/>
      <c r="BE11" s="4"/>
      <c r="BF11" s="4"/>
      <c r="BG11" s="4"/>
      <c r="BH11" s="2" t="str">
        <f t="shared" si="14"/>
        <v/>
      </c>
      <c r="BI11" s="2" t="str">
        <f t="shared" si="15"/>
        <v/>
      </c>
      <c r="BJ11" s="4">
        <f t="shared" si="16"/>
        <v>6</v>
      </c>
      <c r="BK11" s="1" t="str">
        <f t="shared" si="17"/>
        <v/>
      </c>
      <c r="BL11" s="23"/>
      <c r="BM11" s="23"/>
      <c r="BN11" s="23"/>
      <c r="BO11" s="4"/>
      <c r="BP11" s="24"/>
      <c r="BQ11" s="23"/>
      <c r="BR11" s="4"/>
      <c r="BS11" s="24"/>
      <c r="BT11" s="23"/>
      <c r="BU11" s="23"/>
      <c r="BV11" s="23"/>
      <c r="BW11" s="4"/>
      <c r="BX11" s="24"/>
      <c r="BY11" s="23"/>
      <c r="BZ11" s="4"/>
      <c r="CA11" s="2" t="str">
        <f t="shared" si="18"/>
        <v/>
      </c>
      <c r="CB11" s="2" t="str">
        <f t="shared" si="19"/>
        <v/>
      </c>
      <c r="CC11" s="4">
        <f t="shared" si="20"/>
        <v>6</v>
      </c>
      <c r="CD11" s="1" t="str">
        <f t="shared" si="21"/>
        <v/>
      </c>
      <c r="CE11" s="23"/>
      <c r="CF11" s="4"/>
      <c r="CG11" s="4"/>
      <c r="CH11" s="2" t="str">
        <f t="shared" si="22"/>
        <v/>
      </c>
      <c r="CI11" s="2" t="str">
        <f t="shared" si="23"/>
        <v/>
      </c>
    </row>
    <row r="12" spans="2:87" ht="21.75" customHeight="1">
      <c r="B12" s="38">
        <v>7</v>
      </c>
      <c r="C12" s="41"/>
      <c r="D12" s="45"/>
      <c r="E12" s="45"/>
      <c r="F12" s="45"/>
      <c r="G12" s="45"/>
      <c r="H12" s="45"/>
      <c r="I12" s="45"/>
      <c r="J12" s="45"/>
      <c r="K12" s="53"/>
      <c r="L12" s="53"/>
      <c r="M12" s="53"/>
      <c r="N12" s="45"/>
      <c r="O12" s="45"/>
      <c r="P12" s="30" t="s">
        <v>45</v>
      </c>
      <c r="Q12" s="32" t="str">
        <f>IF(ISBLANK(C6),"",MAX(J6:J45))</f>
        <v/>
      </c>
      <c r="R12" s="4">
        <f t="shared" si="0"/>
        <v>7</v>
      </c>
      <c r="S12" s="1" t="str">
        <f t="shared" si="1"/>
        <v/>
      </c>
      <c r="T12" s="4"/>
      <c r="U12" s="4"/>
      <c r="V12" s="4"/>
      <c r="W12" s="4"/>
      <c r="X12" s="4"/>
      <c r="Y12" s="4"/>
      <c r="Z12" s="4"/>
      <c r="AA12" s="2" t="str">
        <f t="shared" si="2"/>
        <v/>
      </c>
      <c r="AB12" s="2" t="str">
        <f t="shared" si="3"/>
        <v/>
      </c>
      <c r="AC12" s="4">
        <f t="shared" si="4"/>
        <v>7</v>
      </c>
      <c r="AD12" s="1" t="str">
        <f t="shared" si="5"/>
        <v/>
      </c>
      <c r="AE12" s="4"/>
      <c r="AF12" s="4"/>
      <c r="AG12" s="4"/>
      <c r="AH12" s="4"/>
      <c r="AI12" s="4"/>
      <c r="AJ12" s="4"/>
      <c r="AK12" s="4"/>
      <c r="AL12" s="2" t="str">
        <f t="shared" si="6"/>
        <v/>
      </c>
      <c r="AM12" s="2" t="str">
        <f t="shared" si="7"/>
        <v/>
      </c>
      <c r="AN12" s="4">
        <f t="shared" si="8"/>
        <v>7</v>
      </c>
      <c r="AO12" s="1" t="str">
        <f t="shared" si="9"/>
        <v/>
      </c>
      <c r="AP12" s="4"/>
      <c r="AQ12" s="4"/>
      <c r="AR12" s="4"/>
      <c r="AS12" s="4"/>
      <c r="AT12" s="4"/>
      <c r="AU12" s="4"/>
      <c r="AV12" s="4"/>
      <c r="AW12" s="2" t="str">
        <f t="shared" si="10"/>
        <v/>
      </c>
      <c r="AX12" s="23" t="str">
        <f t="shared" si="11"/>
        <v/>
      </c>
      <c r="AY12" s="4">
        <f t="shared" si="12"/>
        <v>7</v>
      </c>
      <c r="AZ12" s="1" t="str">
        <f t="shared" si="13"/>
        <v/>
      </c>
      <c r="BA12" s="4"/>
      <c r="BB12" s="4"/>
      <c r="BC12" s="4"/>
      <c r="BD12" s="4"/>
      <c r="BE12" s="4"/>
      <c r="BF12" s="4"/>
      <c r="BG12" s="4"/>
      <c r="BH12" s="2" t="str">
        <f t="shared" si="14"/>
        <v/>
      </c>
      <c r="BI12" s="2" t="str">
        <f t="shared" si="15"/>
        <v/>
      </c>
      <c r="BJ12" s="4">
        <f t="shared" si="16"/>
        <v>7</v>
      </c>
      <c r="BK12" s="1" t="str">
        <f t="shared" si="17"/>
        <v/>
      </c>
      <c r="BL12" s="23"/>
      <c r="BM12" s="23"/>
      <c r="BN12" s="23"/>
      <c r="BO12" s="4"/>
      <c r="BP12" s="24"/>
      <c r="BQ12" s="23"/>
      <c r="BR12" s="4"/>
      <c r="BS12" s="24"/>
      <c r="BT12" s="23"/>
      <c r="BU12" s="23"/>
      <c r="BV12" s="23"/>
      <c r="BW12" s="4"/>
      <c r="BX12" s="24"/>
      <c r="BY12" s="23"/>
      <c r="BZ12" s="4"/>
      <c r="CA12" s="2" t="str">
        <f t="shared" si="18"/>
        <v/>
      </c>
      <c r="CB12" s="2" t="str">
        <f t="shared" si="19"/>
        <v/>
      </c>
      <c r="CC12" s="4">
        <f t="shared" si="20"/>
        <v>7</v>
      </c>
      <c r="CD12" s="1" t="str">
        <f t="shared" si="21"/>
        <v/>
      </c>
      <c r="CE12" s="23"/>
      <c r="CF12" s="4"/>
      <c r="CG12" s="4"/>
      <c r="CH12" s="2" t="str">
        <f t="shared" si="22"/>
        <v/>
      </c>
      <c r="CI12" s="2" t="str">
        <f t="shared" si="23"/>
        <v/>
      </c>
    </row>
    <row r="13" spans="2:87" ht="21.75" customHeight="1" thickBot="1">
      <c r="B13" s="38">
        <v>8</v>
      </c>
      <c r="C13" s="41"/>
      <c r="D13" s="45"/>
      <c r="E13" s="45"/>
      <c r="F13" s="45"/>
      <c r="G13" s="45"/>
      <c r="H13" s="45"/>
      <c r="I13" s="45"/>
      <c r="J13" s="45"/>
      <c r="K13" s="53"/>
      <c r="L13" s="53"/>
      <c r="M13" s="53"/>
      <c r="N13" s="45"/>
      <c r="O13" s="45"/>
      <c r="P13" s="31" t="s">
        <v>46</v>
      </c>
      <c r="Q13" s="34" t="str">
        <f>IF(ISBLANK(C6),"",MIN(J6:J45))</f>
        <v/>
      </c>
      <c r="R13" s="4">
        <f t="shared" si="0"/>
        <v>8</v>
      </c>
      <c r="S13" s="1" t="str">
        <f t="shared" si="1"/>
        <v/>
      </c>
      <c r="T13" s="4"/>
      <c r="U13" s="4"/>
      <c r="V13" s="4"/>
      <c r="W13" s="4"/>
      <c r="X13" s="4"/>
      <c r="Y13" s="4"/>
      <c r="Z13" s="4"/>
      <c r="AA13" s="2" t="str">
        <f t="shared" si="2"/>
        <v/>
      </c>
      <c r="AB13" s="2" t="str">
        <f t="shared" si="3"/>
        <v/>
      </c>
      <c r="AC13" s="4">
        <f t="shared" si="4"/>
        <v>8</v>
      </c>
      <c r="AD13" s="1" t="str">
        <f t="shared" si="5"/>
        <v/>
      </c>
      <c r="AE13" s="4"/>
      <c r="AF13" s="4"/>
      <c r="AG13" s="4"/>
      <c r="AH13" s="4"/>
      <c r="AI13" s="4"/>
      <c r="AJ13" s="4"/>
      <c r="AK13" s="4"/>
      <c r="AL13" s="2" t="str">
        <f t="shared" si="6"/>
        <v/>
      </c>
      <c r="AM13" s="2" t="str">
        <f t="shared" si="7"/>
        <v/>
      </c>
      <c r="AN13" s="4">
        <f t="shared" si="8"/>
        <v>8</v>
      </c>
      <c r="AO13" s="1" t="str">
        <f t="shared" si="9"/>
        <v/>
      </c>
      <c r="AP13" s="4"/>
      <c r="AQ13" s="4"/>
      <c r="AR13" s="4"/>
      <c r="AS13" s="4"/>
      <c r="AT13" s="4"/>
      <c r="AU13" s="4"/>
      <c r="AV13" s="4"/>
      <c r="AW13" s="2" t="str">
        <f t="shared" si="10"/>
        <v/>
      </c>
      <c r="AX13" s="23" t="str">
        <f t="shared" si="11"/>
        <v/>
      </c>
      <c r="AY13" s="4">
        <f t="shared" si="12"/>
        <v>8</v>
      </c>
      <c r="AZ13" s="1" t="str">
        <f t="shared" si="13"/>
        <v/>
      </c>
      <c r="BA13" s="4"/>
      <c r="BB13" s="4"/>
      <c r="BC13" s="4"/>
      <c r="BD13" s="4"/>
      <c r="BE13" s="4"/>
      <c r="BF13" s="4"/>
      <c r="BG13" s="4"/>
      <c r="BH13" s="2" t="str">
        <f t="shared" si="14"/>
        <v/>
      </c>
      <c r="BI13" s="2" t="str">
        <f t="shared" si="15"/>
        <v/>
      </c>
      <c r="BJ13" s="4">
        <f t="shared" si="16"/>
        <v>8</v>
      </c>
      <c r="BK13" s="1" t="str">
        <f t="shared" si="17"/>
        <v/>
      </c>
      <c r="BL13" s="23"/>
      <c r="BM13" s="23"/>
      <c r="BN13" s="23"/>
      <c r="BO13" s="4"/>
      <c r="BP13" s="24"/>
      <c r="BQ13" s="23"/>
      <c r="BR13" s="4"/>
      <c r="BS13" s="24"/>
      <c r="BT13" s="23"/>
      <c r="BU13" s="23"/>
      <c r="BV13" s="23"/>
      <c r="BW13" s="4"/>
      <c r="BX13" s="24"/>
      <c r="BY13" s="23"/>
      <c r="BZ13" s="4"/>
      <c r="CA13" s="2" t="str">
        <f t="shared" si="18"/>
        <v/>
      </c>
      <c r="CB13" s="2" t="str">
        <f t="shared" si="19"/>
        <v/>
      </c>
      <c r="CC13" s="4">
        <f t="shared" si="20"/>
        <v>8</v>
      </c>
      <c r="CD13" s="1" t="str">
        <f t="shared" si="21"/>
        <v/>
      </c>
      <c r="CE13" s="23"/>
      <c r="CF13" s="4"/>
      <c r="CG13" s="4"/>
      <c r="CH13" s="2" t="str">
        <f t="shared" si="22"/>
        <v/>
      </c>
      <c r="CI13" s="2" t="str">
        <f t="shared" si="23"/>
        <v/>
      </c>
    </row>
    <row r="14" spans="2:87" ht="21.75" customHeight="1">
      <c r="B14" s="38">
        <v>9</v>
      </c>
      <c r="C14" s="41"/>
      <c r="D14" s="45"/>
      <c r="E14" s="45"/>
      <c r="F14" s="45"/>
      <c r="G14" s="45"/>
      <c r="H14" s="45"/>
      <c r="I14" s="45"/>
      <c r="J14" s="45"/>
      <c r="K14" s="53"/>
      <c r="L14" s="53"/>
      <c r="M14" s="53"/>
      <c r="N14" s="45"/>
      <c r="O14" s="45"/>
      <c r="R14" s="4">
        <f t="shared" si="0"/>
        <v>9</v>
      </c>
      <c r="S14" s="1" t="str">
        <f t="shared" si="1"/>
        <v/>
      </c>
      <c r="T14" s="4"/>
      <c r="U14" s="4"/>
      <c r="V14" s="4"/>
      <c r="W14" s="4"/>
      <c r="X14" s="4"/>
      <c r="Y14" s="4"/>
      <c r="Z14" s="4"/>
      <c r="AA14" s="2" t="str">
        <f t="shared" si="2"/>
        <v/>
      </c>
      <c r="AB14" s="2" t="str">
        <f t="shared" si="3"/>
        <v/>
      </c>
      <c r="AC14" s="4">
        <f t="shared" si="4"/>
        <v>9</v>
      </c>
      <c r="AD14" s="1" t="str">
        <f t="shared" si="5"/>
        <v/>
      </c>
      <c r="AE14" s="4"/>
      <c r="AF14" s="4"/>
      <c r="AG14" s="4"/>
      <c r="AH14" s="4"/>
      <c r="AI14" s="4"/>
      <c r="AJ14" s="4"/>
      <c r="AK14" s="4"/>
      <c r="AL14" s="2" t="str">
        <f t="shared" si="6"/>
        <v/>
      </c>
      <c r="AM14" s="2" t="str">
        <f t="shared" si="7"/>
        <v/>
      </c>
      <c r="AN14" s="4">
        <f t="shared" si="8"/>
        <v>9</v>
      </c>
      <c r="AO14" s="1" t="str">
        <f t="shared" si="9"/>
        <v/>
      </c>
      <c r="AP14" s="4"/>
      <c r="AQ14" s="4"/>
      <c r="AR14" s="4"/>
      <c r="AS14" s="4"/>
      <c r="AT14" s="4"/>
      <c r="AU14" s="4"/>
      <c r="AV14" s="4"/>
      <c r="AW14" s="2" t="str">
        <f t="shared" si="10"/>
        <v/>
      </c>
      <c r="AX14" s="23" t="str">
        <f t="shared" si="11"/>
        <v/>
      </c>
      <c r="AY14" s="4">
        <f t="shared" si="12"/>
        <v>9</v>
      </c>
      <c r="AZ14" s="1" t="str">
        <f t="shared" si="13"/>
        <v/>
      </c>
      <c r="BA14" s="4"/>
      <c r="BB14" s="4"/>
      <c r="BC14" s="4"/>
      <c r="BD14" s="4"/>
      <c r="BE14" s="4"/>
      <c r="BF14" s="4"/>
      <c r="BG14" s="4"/>
      <c r="BH14" s="2" t="str">
        <f t="shared" si="14"/>
        <v/>
      </c>
      <c r="BI14" s="2" t="str">
        <f t="shared" si="15"/>
        <v/>
      </c>
      <c r="BJ14" s="4">
        <f t="shared" si="16"/>
        <v>9</v>
      </c>
      <c r="BK14" s="1" t="str">
        <f t="shared" si="17"/>
        <v/>
      </c>
      <c r="BL14" s="23"/>
      <c r="BM14" s="23"/>
      <c r="BN14" s="23"/>
      <c r="BO14" s="4"/>
      <c r="BP14" s="4"/>
      <c r="BQ14" s="23"/>
      <c r="BR14" s="4"/>
      <c r="BS14" s="4"/>
      <c r="BT14" s="23"/>
      <c r="BU14" s="23"/>
      <c r="BV14" s="23"/>
      <c r="BW14" s="4"/>
      <c r="BX14" s="4"/>
      <c r="BY14" s="23"/>
      <c r="BZ14" s="4"/>
      <c r="CA14" s="2" t="str">
        <f t="shared" si="18"/>
        <v/>
      </c>
      <c r="CB14" s="2" t="str">
        <f t="shared" si="19"/>
        <v/>
      </c>
      <c r="CC14" s="4">
        <f t="shared" si="20"/>
        <v>9</v>
      </c>
      <c r="CD14" s="1" t="str">
        <f t="shared" si="21"/>
        <v/>
      </c>
      <c r="CE14" s="23"/>
      <c r="CF14" s="4"/>
      <c r="CG14" s="4"/>
      <c r="CH14" s="2" t="str">
        <f t="shared" si="22"/>
        <v/>
      </c>
      <c r="CI14" s="2" t="str">
        <f t="shared" si="23"/>
        <v/>
      </c>
    </row>
    <row r="15" spans="2:87" ht="21.75" customHeight="1">
      <c r="B15" s="38">
        <v>10</v>
      </c>
      <c r="C15" s="41"/>
      <c r="D15" s="45"/>
      <c r="E15" s="45"/>
      <c r="F15" s="45"/>
      <c r="G15" s="45"/>
      <c r="H15" s="45"/>
      <c r="I15" s="45"/>
      <c r="J15" s="45"/>
      <c r="K15" s="53"/>
      <c r="L15" s="53"/>
      <c r="M15" s="53"/>
      <c r="N15" s="45"/>
      <c r="O15" s="45"/>
      <c r="R15" s="4">
        <f t="shared" si="0"/>
        <v>10</v>
      </c>
      <c r="S15" s="1" t="str">
        <f t="shared" si="1"/>
        <v/>
      </c>
      <c r="T15" s="4"/>
      <c r="U15" s="4"/>
      <c r="V15" s="4"/>
      <c r="W15" s="4"/>
      <c r="X15" s="4"/>
      <c r="Y15" s="4"/>
      <c r="Z15" s="4"/>
      <c r="AA15" s="2" t="str">
        <f t="shared" si="2"/>
        <v/>
      </c>
      <c r="AB15" s="2" t="str">
        <f t="shared" si="3"/>
        <v/>
      </c>
      <c r="AC15" s="4">
        <f t="shared" si="4"/>
        <v>10</v>
      </c>
      <c r="AD15" s="1" t="str">
        <f t="shared" si="5"/>
        <v/>
      </c>
      <c r="AE15" s="4"/>
      <c r="AF15" s="4"/>
      <c r="AG15" s="4"/>
      <c r="AH15" s="4"/>
      <c r="AI15" s="4"/>
      <c r="AJ15" s="4"/>
      <c r="AK15" s="4"/>
      <c r="AL15" s="2" t="str">
        <f t="shared" si="6"/>
        <v/>
      </c>
      <c r="AM15" s="2" t="str">
        <f t="shared" si="7"/>
        <v/>
      </c>
      <c r="AN15" s="4">
        <f t="shared" si="8"/>
        <v>10</v>
      </c>
      <c r="AO15" s="1" t="str">
        <f t="shared" si="9"/>
        <v/>
      </c>
      <c r="AP15" s="4"/>
      <c r="AQ15" s="4"/>
      <c r="AR15" s="4"/>
      <c r="AS15" s="4"/>
      <c r="AT15" s="4"/>
      <c r="AU15" s="4"/>
      <c r="AV15" s="4"/>
      <c r="AW15" s="2" t="str">
        <f t="shared" si="10"/>
        <v/>
      </c>
      <c r="AX15" s="23" t="str">
        <f t="shared" si="11"/>
        <v/>
      </c>
      <c r="AY15" s="4">
        <f t="shared" si="12"/>
        <v>10</v>
      </c>
      <c r="AZ15" s="1" t="str">
        <f t="shared" si="13"/>
        <v/>
      </c>
      <c r="BA15" s="4"/>
      <c r="BB15" s="4"/>
      <c r="BC15" s="4"/>
      <c r="BD15" s="4"/>
      <c r="BE15" s="4"/>
      <c r="BF15" s="4"/>
      <c r="BG15" s="4"/>
      <c r="BH15" s="2" t="str">
        <f t="shared" si="14"/>
        <v/>
      </c>
      <c r="BI15" s="2" t="str">
        <f t="shared" si="15"/>
        <v/>
      </c>
      <c r="BJ15" s="4">
        <f t="shared" si="16"/>
        <v>10</v>
      </c>
      <c r="BK15" s="1" t="str">
        <f t="shared" si="17"/>
        <v/>
      </c>
      <c r="BL15" s="23"/>
      <c r="BM15" s="23"/>
      <c r="BN15" s="23"/>
      <c r="BO15" s="4"/>
      <c r="BP15" s="4"/>
      <c r="BQ15" s="23"/>
      <c r="BR15" s="4"/>
      <c r="BS15" s="4"/>
      <c r="BT15" s="23"/>
      <c r="BU15" s="23"/>
      <c r="BV15" s="23"/>
      <c r="BW15" s="4"/>
      <c r="BX15" s="4"/>
      <c r="BY15" s="23"/>
      <c r="BZ15" s="4"/>
      <c r="CA15" s="2" t="str">
        <f t="shared" si="18"/>
        <v/>
      </c>
      <c r="CB15" s="2" t="str">
        <f t="shared" si="19"/>
        <v/>
      </c>
      <c r="CC15" s="4">
        <f t="shared" si="20"/>
        <v>10</v>
      </c>
      <c r="CD15" s="1" t="str">
        <f t="shared" si="21"/>
        <v/>
      </c>
      <c r="CE15" s="23"/>
      <c r="CF15" s="4"/>
      <c r="CG15" s="4"/>
      <c r="CH15" s="2" t="str">
        <f t="shared" si="22"/>
        <v/>
      </c>
      <c r="CI15" s="2" t="str">
        <f t="shared" si="23"/>
        <v/>
      </c>
    </row>
    <row r="16" spans="2:87" ht="21.75" customHeight="1">
      <c r="B16" s="38">
        <v>11</v>
      </c>
      <c r="C16" s="41"/>
      <c r="D16" s="45"/>
      <c r="E16" s="45"/>
      <c r="F16" s="45"/>
      <c r="G16" s="45"/>
      <c r="H16" s="45"/>
      <c r="I16" s="45"/>
      <c r="J16" s="45"/>
      <c r="K16" s="53"/>
      <c r="L16" s="53"/>
      <c r="M16" s="53"/>
      <c r="N16" s="45"/>
      <c r="O16" s="45"/>
      <c r="R16" s="4">
        <f t="shared" si="0"/>
        <v>11</v>
      </c>
      <c r="S16" s="1" t="str">
        <f t="shared" si="1"/>
        <v/>
      </c>
      <c r="T16" s="4"/>
      <c r="U16" s="4"/>
      <c r="V16" s="4"/>
      <c r="W16" s="4"/>
      <c r="X16" s="4"/>
      <c r="Y16" s="4"/>
      <c r="Z16" s="4"/>
      <c r="AA16" s="2" t="str">
        <f t="shared" si="2"/>
        <v/>
      </c>
      <c r="AB16" s="2" t="str">
        <f t="shared" si="3"/>
        <v/>
      </c>
      <c r="AC16" s="4">
        <f t="shared" si="4"/>
        <v>11</v>
      </c>
      <c r="AD16" s="1" t="str">
        <f t="shared" si="5"/>
        <v/>
      </c>
      <c r="AE16" s="4"/>
      <c r="AF16" s="4"/>
      <c r="AG16" s="4"/>
      <c r="AH16" s="4"/>
      <c r="AI16" s="4"/>
      <c r="AJ16" s="4"/>
      <c r="AK16" s="4"/>
      <c r="AL16" s="2" t="str">
        <f t="shared" si="6"/>
        <v/>
      </c>
      <c r="AM16" s="2" t="str">
        <f t="shared" si="7"/>
        <v/>
      </c>
      <c r="AN16" s="4">
        <f t="shared" si="8"/>
        <v>11</v>
      </c>
      <c r="AO16" s="1" t="str">
        <f t="shared" si="9"/>
        <v/>
      </c>
      <c r="AP16" s="4"/>
      <c r="AQ16" s="4"/>
      <c r="AR16" s="4"/>
      <c r="AS16" s="4"/>
      <c r="AT16" s="4"/>
      <c r="AU16" s="4"/>
      <c r="AV16" s="4"/>
      <c r="AW16" s="2" t="str">
        <f t="shared" si="10"/>
        <v/>
      </c>
      <c r="AX16" s="23" t="str">
        <f t="shared" si="11"/>
        <v/>
      </c>
      <c r="AY16" s="4">
        <f t="shared" si="12"/>
        <v>11</v>
      </c>
      <c r="AZ16" s="1" t="str">
        <f t="shared" si="13"/>
        <v/>
      </c>
      <c r="BA16" s="4"/>
      <c r="BB16" s="4"/>
      <c r="BC16" s="4"/>
      <c r="BD16" s="4"/>
      <c r="BE16" s="4"/>
      <c r="BF16" s="4"/>
      <c r="BG16" s="4"/>
      <c r="BH16" s="2" t="str">
        <f t="shared" si="14"/>
        <v/>
      </c>
      <c r="BI16" s="2" t="str">
        <f t="shared" si="15"/>
        <v/>
      </c>
      <c r="BJ16" s="4">
        <f t="shared" si="16"/>
        <v>11</v>
      </c>
      <c r="BK16" s="1" t="str">
        <f t="shared" si="17"/>
        <v/>
      </c>
      <c r="BL16" s="23"/>
      <c r="BM16" s="23"/>
      <c r="BN16" s="23"/>
      <c r="BO16" s="4"/>
      <c r="BP16" s="4"/>
      <c r="BQ16" s="23"/>
      <c r="BR16" s="4"/>
      <c r="BS16" s="4"/>
      <c r="BT16" s="23"/>
      <c r="BU16" s="23"/>
      <c r="BV16" s="23"/>
      <c r="BW16" s="4"/>
      <c r="BX16" s="4"/>
      <c r="BY16" s="23"/>
      <c r="BZ16" s="4"/>
      <c r="CA16" s="2" t="str">
        <f t="shared" si="18"/>
        <v/>
      </c>
      <c r="CB16" s="2" t="str">
        <f t="shared" si="19"/>
        <v/>
      </c>
      <c r="CC16" s="4">
        <f t="shared" si="20"/>
        <v>11</v>
      </c>
      <c r="CD16" s="1" t="str">
        <f t="shared" si="21"/>
        <v/>
      </c>
      <c r="CE16" s="23"/>
      <c r="CF16" s="4"/>
      <c r="CG16" s="4"/>
      <c r="CH16" s="2" t="str">
        <f t="shared" si="22"/>
        <v/>
      </c>
      <c r="CI16" s="2" t="str">
        <f t="shared" si="23"/>
        <v/>
      </c>
    </row>
    <row r="17" spans="2:87" ht="21.75" customHeight="1">
      <c r="B17" s="38">
        <v>12</v>
      </c>
      <c r="C17" s="41"/>
      <c r="D17" s="45"/>
      <c r="E17" s="45"/>
      <c r="F17" s="45"/>
      <c r="G17" s="45"/>
      <c r="H17" s="45"/>
      <c r="I17" s="45"/>
      <c r="J17" s="45"/>
      <c r="K17" s="53"/>
      <c r="L17" s="53"/>
      <c r="M17" s="53"/>
      <c r="N17" s="45"/>
      <c r="O17" s="45"/>
      <c r="R17" s="4">
        <f t="shared" si="0"/>
        <v>12</v>
      </c>
      <c r="S17" s="1" t="str">
        <f t="shared" si="1"/>
        <v/>
      </c>
      <c r="T17" s="4"/>
      <c r="U17" s="4"/>
      <c r="V17" s="4"/>
      <c r="W17" s="4"/>
      <c r="X17" s="4"/>
      <c r="Y17" s="4"/>
      <c r="Z17" s="4"/>
      <c r="AA17" s="2" t="str">
        <f t="shared" si="2"/>
        <v/>
      </c>
      <c r="AB17" s="2" t="str">
        <f t="shared" si="3"/>
        <v/>
      </c>
      <c r="AC17" s="4">
        <f t="shared" si="4"/>
        <v>12</v>
      </c>
      <c r="AD17" s="1" t="str">
        <f t="shared" si="5"/>
        <v/>
      </c>
      <c r="AE17" s="4"/>
      <c r="AF17" s="4"/>
      <c r="AG17" s="4"/>
      <c r="AH17" s="4"/>
      <c r="AI17" s="4"/>
      <c r="AJ17" s="4"/>
      <c r="AK17" s="4"/>
      <c r="AL17" s="2" t="str">
        <f t="shared" si="6"/>
        <v/>
      </c>
      <c r="AM17" s="2" t="str">
        <f t="shared" si="7"/>
        <v/>
      </c>
      <c r="AN17" s="4">
        <f t="shared" si="8"/>
        <v>12</v>
      </c>
      <c r="AO17" s="1" t="str">
        <f t="shared" si="9"/>
        <v/>
      </c>
      <c r="AP17" s="4"/>
      <c r="AQ17" s="4"/>
      <c r="AR17" s="4"/>
      <c r="AS17" s="4"/>
      <c r="AT17" s="4"/>
      <c r="AU17" s="4"/>
      <c r="AV17" s="4"/>
      <c r="AW17" s="2" t="str">
        <f t="shared" si="10"/>
        <v/>
      </c>
      <c r="AX17" s="23" t="str">
        <f t="shared" si="11"/>
        <v/>
      </c>
      <c r="AY17" s="4">
        <f t="shared" si="12"/>
        <v>12</v>
      </c>
      <c r="AZ17" s="1" t="str">
        <f t="shared" si="13"/>
        <v/>
      </c>
      <c r="BA17" s="4"/>
      <c r="BB17" s="4"/>
      <c r="BC17" s="4"/>
      <c r="BD17" s="4"/>
      <c r="BE17" s="4"/>
      <c r="BF17" s="4"/>
      <c r="BG17" s="4"/>
      <c r="BH17" s="2" t="str">
        <f t="shared" si="14"/>
        <v/>
      </c>
      <c r="BI17" s="2" t="str">
        <f t="shared" si="15"/>
        <v/>
      </c>
      <c r="BJ17" s="4">
        <f t="shared" si="16"/>
        <v>12</v>
      </c>
      <c r="BK17" s="1" t="str">
        <f t="shared" si="17"/>
        <v/>
      </c>
      <c r="BL17" s="23"/>
      <c r="BM17" s="23"/>
      <c r="BN17" s="23"/>
      <c r="BO17" s="4"/>
      <c r="BP17" s="4"/>
      <c r="BQ17" s="23"/>
      <c r="BR17" s="4"/>
      <c r="BS17" s="4"/>
      <c r="BT17" s="23"/>
      <c r="BU17" s="23"/>
      <c r="BV17" s="23"/>
      <c r="BW17" s="4"/>
      <c r="BX17" s="4"/>
      <c r="BY17" s="23"/>
      <c r="BZ17" s="4"/>
      <c r="CA17" s="2" t="str">
        <f t="shared" si="18"/>
        <v/>
      </c>
      <c r="CB17" s="2" t="str">
        <f t="shared" si="19"/>
        <v/>
      </c>
      <c r="CC17" s="4">
        <f t="shared" si="20"/>
        <v>12</v>
      </c>
      <c r="CD17" s="1" t="str">
        <f t="shared" si="21"/>
        <v/>
      </c>
      <c r="CE17" s="23"/>
      <c r="CF17" s="4"/>
      <c r="CG17" s="4"/>
      <c r="CH17" s="2" t="str">
        <f t="shared" si="22"/>
        <v/>
      </c>
      <c r="CI17" s="2" t="str">
        <f t="shared" si="23"/>
        <v/>
      </c>
    </row>
    <row r="18" spans="2:87" ht="21.75" customHeight="1">
      <c r="B18" s="38">
        <v>13</v>
      </c>
      <c r="C18" s="41"/>
      <c r="D18" s="45"/>
      <c r="E18" s="45"/>
      <c r="F18" s="45"/>
      <c r="G18" s="45"/>
      <c r="H18" s="45"/>
      <c r="I18" s="45"/>
      <c r="J18" s="45"/>
      <c r="K18" s="53"/>
      <c r="L18" s="53"/>
      <c r="M18" s="53"/>
      <c r="N18" s="45"/>
      <c r="O18" s="45"/>
      <c r="R18" s="4">
        <f t="shared" si="0"/>
        <v>13</v>
      </c>
      <c r="S18" s="1" t="str">
        <f t="shared" si="1"/>
        <v/>
      </c>
      <c r="T18" s="4"/>
      <c r="U18" s="4"/>
      <c r="V18" s="4"/>
      <c r="W18" s="4"/>
      <c r="X18" s="4"/>
      <c r="Y18" s="4"/>
      <c r="Z18" s="4"/>
      <c r="AA18" s="2" t="str">
        <f t="shared" si="2"/>
        <v/>
      </c>
      <c r="AB18" s="2" t="str">
        <f t="shared" si="3"/>
        <v/>
      </c>
      <c r="AC18" s="4">
        <f t="shared" si="4"/>
        <v>13</v>
      </c>
      <c r="AD18" s="1" t="str">
        <f t="shared" si="5"/>
        <v/>
      </c>
      <c r="AE18" s="4"/>
      <c r="AF18" s="4"/>
      <c r="AG18" s="4"/>
      <c r="AH18" s="4"/>
      <c r="AI18" s="4"/>
      <c r="AJ18" s="4"/>
      <c r="AK18" s="4"/>
      <c r="AL18" s="2" t="str">
        <f t="shared" si="6"/>
        <v/>
      </c>
      <c r="AM18" s="2" t="str">
        <f t="shared" si="7"/>
        <v/>
      </c>
      <c r="AN18" s="4">
        <f t="shared" si="8"/>
        <v>13</v>
      </c>
      <c r="AO18" s="1" t="str">
        <f t="shared" si="9"/>
        <v/>
      </c>
      <c r="AP18" s="4"/>
      <c r="AQ18" s="4"/>
      <c r="AR18" s="4"/>
      <c r="AS18" s="4"/>
      <c r="AT18" s="4"/>
      <c r="AU18" s="4"/>
      <c r="AV18" s="4"/>
      <c r="AW18" s="2" t="str">
        <f t="shared" si="10"/>
        <v/>
      </c>
      <c r="AX18" s="23" t="str">
        <f t="shared" si="11"/>
        <v/>
      </c>
      <c r="AY18" s="4">
        <f t="shared" si="12"/>
        <v>13</v>
      </c>
      <c r="AZ18" s="1" t="str">
        <f t="shared" si="13"/>
        <v/>
      </c>
      <c r="BA18" s="4"/>
      <c r="BB18" s="4"/>
      <c r="BC18" s="4"/>
      <c r="BD18" s="4"/>
      <c r="BE18" s="4"/>
      <c r="BF18" s="4"/>
      <c r="BG18" s="4"/>
      <c r="BH18" s="2" t="str">
        <f t="shared" si="14"/>
        <v/>
      </c>
      <c r="BI18" s="2" t="str">
        <f t="shared" si="15"/>
        <v/>
      </c>
      <c r="BJ18" s="4">
        <f t="shared" si="16"/>
        <v>13</v>
      </c>
      <c r="BK18" s="1" t="str">
        <f t="shared" si="17"/>
        <v/>
      </c>
      <c r="BL18" s="23"/>
      <c r="BM18" s="23"/>
      <c r="BN18" s="23"/>
      <c r="BO18" s="4"/>
      <c r="BP18" s="4"/>
      <c r="BQ18" s="23"/>
      <c r="BR18" s="4"/>
      <c r="BS18" s="4"/>
      <c r="BT18" s="23"/>
      <c r="BU18" s="23"/>
      <c r="BV18" s="23"/>
      <c r="BW18" s="4"/>
      <c r="BX18" s="4"/>
      <c r="BY18" s="23"/>
      <c r="BZ18" s="4"/>
      <c r="CA18" s="2" t="str">
        <f t="shared" si="18"/>
        <v/>
      </c>
      <c r="CB18" s="2" t="str">
        <f t="shared" si="19"/>
        <v/>
      </c>
      <c r="CC18" s="4">
        <f t="shared" si="20"/>
        <v>13</v>
      </c>
      <c r="CD18" s="1" t="str">
        <f t="shared" si="21"/>
        <v/>
      </c>
      <c r="CE18" s="23"/>
      <c r="CF18" s="4"/>
      <c r="CG18" s="4"/>
      <c r="CH18" s="2" t="str">
        <f t="shared" si="22"/>
        <v/>
      </c>
      <c r="CI18" s="2" t="str">
        <f t="shared" si="23"/>
        <v/>
      </c>
    </row>
    <row r="19" spans="2:87" ht="21.75" customHeight="1">
      <c r="B19" s="38">
        <v>14</v>
      </c>
      <c r="C19" s="41"/>
      <c r="D19" s="45"/>
      <c r="E19" s="45"/>
      <c r="F19" s="45"/>
      <c r="G19" s="45"/>
      <c r="H19" s="45"/>
      <c r="I19" s="45"/>
      <c r="J19" s="45"/>
      <c r="K19" s="53"/>
      <c r="L19" s="53"/>
      <c r="M19" s="53"/>
      <c r="N19" s="45"/>
      <c r="O19" s="45"/>
      <c r="R19" s="4">
        <f t="shared" si="0"/>
        <v>14</v>
      </c>
      <c r="S19" s="1" t="str">
        <f t="shared" si="1"/>
        <v/>
      </c>
      <c r="T19" s="4"/>
      <c r="U19" s="4"/>
      <c r="V19" s="4"/>
      <c r="W19" s="4"/>
      <c r="X19" s="4"/>
      <c r="Y19" s="4"/>
      <c r="Z19" s="4"/>
      <c r="AA19" s="2" t="str">
        <f t="shared" si="2"/>
        <v/>
      </c>
      <c r="AB19" s="2" t="str">
        <f t="shared" si="3"/>
        <v/>
      </c>
      <c r="AC19" s="4">
        <f t="shared" si="4"/>
        <v>14</v>
      </c>
      <c r="AD19" s="1" t="str">
        <f t="shared" si="5"/>
        <v/>
      </c>
      <c r="AE19" s="4"/>
      <c r="AF19" s="4"/>
      <c r="AG19" s="4"/>
      <c r="AH19" s="4"/>
      <c r="AI19" s="4"/>
      <c r="AJ19" s="4"/>
      <c r="AK19" s="4"/>
      <c r="AL19" s="2" t="str">
        <f t="shared" si="6"/>
        <v/>
      </c>
      <c r="AM19" s="2" t="str">
        <f t="shared" si="7"/>
        <v/>
      </c>
      <c r="AN19" s="4">
        <f t="shared" si="8"/>
        <v>14</v>
      </c>
      <c r="AO19" s="1" t="str">
        <f t="shared" si="9"/>
        <v/>
      </c>
      <c r="AP19" s="4"/>
      <c r="AQ19" s="4"/>
      <c r="AR19" s="4"/>
      <c r="AS19" s="4"/>
      <c r="AT19" s="4"/>
      <c r="AU19" s="4"/>
      <c r="AV19" s="4"/>
      <c r="AW19" s="2" t="str">
        <f t="shared" si="10"/>
        <v/>
      </c>
      <c r="AX19" s="23" t="str">
        <f t="shared" si="11"/>
        <v/>
      </c>
      <c r="AY19" s="4">
        <f t="shared" si="12"/>
        <v>14</v>
      </c>
      <c r="AZ19" s="1" t="str">
        <f t="shared" si="13"/>
        <v/>
      </c>
      <c r="BA19" s="4"/>
      <c r="BB19" s="4"/>
      <c r="BC19" s="4"/>
      <c r="BD19" s="4"/>
      <c r="BE19" s="4"/>
      <c r="BF19" s="4"/>
      <c r="BG19" s="4"/>
      <c r="BH19" s="2" t="str">
        <f t="shared" si="14"/>
        <v/>
      </c>
      <c r="BI19" s="2" t="str">
        <f t="shared" si="15"/>
        <v/>
      </c>
      <c r="BJ19" s="4">
        <f t="shared" si="16"/>
        <v>14</v>
      </c>
      <c r="BK19" s="1" t="str">
        <f t="shared" si="17"/>
        <v/>
      </c>
      <c r="BL19" s="23"/>
      <c r="BM19" s="23"/>
      <c r="BN19" s="23"/>
      <c r="BO19" s="4"/>
      <c r="BP19" s="4"/>
      <c r="BQ19" s="23"/>
      <c r="BR19" s="4"/>
      <c r="BS19" s="4"/>
      <c r="BT19" s="23"/>
      <c r="BU19" s="23"/>
      <c r="BV19" s="23"/>
      <c r="BW19" s="4"/>
      <c r="BX19" s="4"/>
      <c r="BY19" s="23"/>
      <c r="BZ19" s="4"/>
      <c r="CA19" s="2" t="str">
        <f t="shared" si="18"/>
        <v/>
      </c>
      <c r="CB19" s="2" t="str">
        <f t="shared" si="19"/>
        <v/>
      </c>
      <c r="CC19" s="4">
        <f t="shared" si="20"/>
        <v>14</v>
      </c>
      <c r="CD19" s="1" t="str">
        <f t="shared" si="21"/>
        <v/>
      </c>
      <c r="CE19" s="23"/>
      <c r="CF19" s="4"/>
      <c r="CG19" s="4"/>
      <c r="CH19" s="2" t="str">
        <f t="shared" si="22"/>
        <v/>
      </c>
      <c r="CI19" s="2" t="str">
        <f t="shared" si="23"/>
        <v/>
      </c>
    </row>
    <row r="20" spans="2:87" ht="21.75" customHeight="1">
      <c r="B20" s="38">
        <v>15</v>
      </c>
      <c r="C20" s="41"/>
      <c r="D20" s="45"/>
      <c r="E20" s="45"/>
      <c r="F20" s="45"/>
      <c r="G20" s="45"/>
      <c r="H20" s="45"/>
      <c r="I20" s="45"/>
      <c r="J20" s="45"/>
      <c r="K20" s="53"/>
      <c r="L20" s="53"/>
      <c r="M20" s="53"/>
      <c r="N20" s="45"/>
      <c r="O20" s="45"/>
      <c r="R20" s="4">
        <f t="shared" si="0"/>
        <v>15</v>
      </c>
      <c r="S20" s="1" t="str">
        <f t="shared" si="1"/>
        <v/>
      </c>
      <c r="T20" s="4"/>
      <c r="U20" s="4"/>
      <c r="V20" s="4"/>
      <c r="W20" s="4"/>
      <c r="X20" s="4"/>
      <c r="Y20" s="4"/>
      <c r="Z20" s="4"/>
      <c r="AA20" s="2" t="str">
        <f t="shared" si="2"/>
        <v/>
      </c>
      <c r="AB20" s="2" t="str">
        <f t="shared" si="3"/>
        <v/>
      </c>
      <c r="AC20" s="4">
        <f t="shared" si="4"/>
        <v>15</v>
      </c>
      <c r="AD20" s="1" t="str">
        <f t="shared" si="5"/>
        <v/>
      </c>
      <c r="AE20" s="4"/>
      <c r="AF20" s="4"/>
      <c r="AG20" s="4"/>
      <c r="AH20" s="4"/>
      <c r="AI20" s="4"/>
      <c r="AJ20" s="4"/>
      <c r="AK20" s="4"/>
      <c r="AL20" s="2" t="str">
        <f t="shared" si="6"/>
        <v/>
      </c>
      <c r="AM20" s="2" t="str">
        <f t="shared" si="7"/>
        <v/>
      </c>
      <c r="AN20" s="4">
        <f t="shared" si="8"/>
        <v>15</v>
      </c>
      <c r="AO20" s="1" t="str">
        <f t="shared" si="9"/>
        <v/>
      </c>
      <c r="AP20" s="4"/>
      <c r="AQ20" s="4"/>
      <c r="AR20" s="4"/>
      <c r="AS20" s="4"/>
      <c r="AT20" s="4"/>
      <c r="AU20" s="4"/>
      <c r="AV20" s="4"/>
      <c r="AW20" s="2" t="str">
        <f t="shared" si="10"/>
        <v/>
      </c>
      <c r="AX20" s="23" t="str">
        <f t="shared" si="11"/>
        <v/>
      </c>
      <c r="AY20" s="4">
        <f t="shared" si="12"/>
        <v>15</v>
      </c>
      <c r="AZ20" s="1" t="str">
        <f t="shared" si="13"/>
        <v/>
      </c>
      <c r="BA20" s="4"/>
      <c r="BB20" s="4"/>
      <c r="BC20" s="4"/>
      <c r="BD20" s="4"/>
      <c r="BE20" s="4"/>
      <c r="BF20" s="4"/>
      <c r="BG20" s="4"/>
      <c r="BH20" s="2" t="str">
        <f t="shared" si="14"/>
        <v/>
      </c>
      <c r="BI20" s="2" t="str">
        <f t="shared" si="15"/>
        <v/>
      </c>
      <c r="BJ20" s="4">
        <f t="shared" si="16"/>
        <v>15</v>
      </c>
      <c r="BK20" s="1" t="str">
        <f t="shared" si="17"/>
        <v/>
      </c>
      <c r="BL20" s="23"/>
      <c r="BM20" s="23"/>
      <c r="BN20" s="23"/>
      <c r="BO20" s="4"/>
      <c r="BP20" s="4"/>
      <c r="BQ20" s="23"/>
      <c r="BR20" s="4"/>
      <c r="BS20" s="4"/>
      <c r="BT20" s="23"/>
      <c r="BU20" s="23"/>
      <c r="BV20" s="23"/>
      <c r="BW20" s="4"/>
      <c r="BX20" s="4"/>
      <c r="BY20" s="23"/>
      <c r="BZ20" s="4"/>
      <c r="CA20" s="2" t="str">
        <f t="shared" si="18"/>
        <v/>
      </c>
      <c r="CB20" s="2" t="str">
        <f t="shared" si="19"/>
        <v/>
      </c>
      <c r="CC20" s="4">
        <f t="shared" si="20"/>
        <v>15</v>
      </c>
      <c r="CD20" s="1" t="str">
        <f t="shared" si="21"/>
        <v/>
      </c>
      <c r="CE20" s="23"/>
      <c r="CF20" s="4"/>
      <c r="CG20" s="4"/>
      <c r="CH20" s="2" t="str">
        <f t="shared" si="22"/>
        <v/>
      </c>
      <c r="CI20" s="2" t="str">
        <f t="shared" si="23"/>
        <v/>
      </c>
    </row>
    <row r="21" spans="2:87" ht="21.75" customHeight="1">
      <c r="B21" s="38">
        <v>16</v>
      </c>
      <c r="C21" s="41"/>
      <c r="D21" s="45"/>
      <c r="E21" s="45"/>
      <c r="F21" s="45"/>
      <c r="G21" s="45"/>
      <c r="H21" s="45"/>
      <c r="I21" s="45"/>
      <c r="J21" s="45"/>
      <c r="K21" s="53"/>
      <c r="L21" s="53"/>
      <c r="M21" s="53"/>
      <c r="N21" s="45"/>
      <c r="O21" s="45"/>
      <c r="R21" s="4">
        <f t="shared" si="0"/>
        <v>16</v>
      </c>
      <c r="S21" s="1" t="str">
        <f t="shared" si="1"/>
        <v/>
      </c>
      <c r="T21" s="4"/>
      <c r="U21" s="4"/>
      <c r="V21" s="4"/>
      <c r="W21" s="4"/>
      <c r="X21" s="4"/>
      <c r="Y21" s="4"/>
      <c r="Z21" s="4"/>
      <c r="AA21" s="2" t="str">
        <f t="shared" si="2"/>
        <v/>
      </c>
      <c r="AB21" s="2" t="str">
        <f t="shared" si="3"/>
        <v/>
      </c>
      <c r="AC21" s="4">
        <f t="shared" si="4"/>
        <v>16</v>
      </c>
      <c r="AD21" s="1" t="str">
        <f t="shared" si="5"/>
        <v/>
      </c>
      <c r="AE21" s="4"/>
      <c r="AF21" s="4"/>
      <c r="AG21" s="4"/>
      <c r="AH21" s="4"/>
      <c r="AI21" s="4"/>
      <c r="AJ21" s="4"/>
      <c r="AK21" s="4"/>
      <c r="AL21" s="2" t="str">
        <f t="shared" si="6"/>
        <v/>
      </c>
      <c r="AM21" s="2" t="str">
        <f t="shared" si="7"/>
        <v/>
      </c>
      <c r="AN21" s="4">
        <f t="shared" si="8"/>
        <v>16</v>
      </c>
      <c r="AO21" s="1" t="str">
        <f t="shared" si="9"/>
        <v/>
      </c>
      <c r="AP21" s="4"/>
      <c r="AQ21" s="4"/>
      <c r="AR21" s="4"/>
      <c r="AS21" s="4"/>
      <c r="AT21" s="4"/>
      <c r="AU21" s="4"/>
      <c r="AV21" s="4"/>
      <c r="AW21" s="2" t="str">
        <f t="shared" si="10"/>
        <v/>
      </c>
      <c r="AX21" s="23" t="str">
        <f t="shared" si="11"/>
        <v/>
      </c>
      <c r="AY21" s="4">
        <f t="shared" si="12"/>
        <v>16</v>
      </c>
      <c r="AZ21" s="1" t="str">
        <f t="shared" si="13"/>
        <v/>
      </c>
      <c r="BA21" s="4"/>
      <c r="BB21" s="4"/>
      <c r="BC21" s="4"/>
      <c r="BD21" s="4"/>
      <c r="BE21" s="4"/>
      <c r="BF21" s="4"/>
      <c r="BG21" s="4"/>
      <c r="BH21" s="2" t="str">
        <f t="shared" si="14"/>
        <v/>
      </c>
      <c r="BI21" s="2" t="str">
        <f t="shared" si="15"/>
        <v/>
      </c>
      <c r="BJ21" s="4">
        <f t="shared" si="16"/>
        <v>16</v>
      </c>
      <c r="BK21" s="1" t="str">
        <f t="shared" si="17"/>
        <v/>
      </c>
      <c r="BL21" s="23"/>
      <c r="BM21" s="23"/>
      <c r="BN21" s="23"/>
      <c r="BO21" s="4"/>
      <c r="BP21" s="4"/>
      <c r="BQ21" s="23"/>
      <c r="BR21" s="4"/>
      <c r="BS21" s="4"/>
      <c r="BT21" s="23"/>
      <c r="BU21" s="23"/>
      <c r="BV21" s="23"/>
      <c r="BW21" s="4"/>
      <c r="BX21" s="4"/>
      <c r="BY21" s="23"/>
      <c r="BZ21" s="4"/>
      <c r="CA21" s="2" t="str">
        <f t="shared" si="18"/>
        <v/>
      </c>
      <c r="CB21" s="2" t="str">
        <f t="shared" si="19"/>
        <v/>
      </c>
      <c r="CC21" s="4">
        <f t="shared" si="20"/>
        <v>16</v>
      </c>
      <c r="CD21" s="1" t="str">
        <f t="shared" si="21"/>
        <v/>
      </c>
      <c r="CE21" s="23"/>
      <c r="CF21" s="4"/>
      <c r="CG21" s="4"/>
      <c r="CH21" s="2" t="str">
        <f t="shared" si="22"/>
        <v/>
      </c>
      <c r="CI21" s="2" t="str">
        <f t="shared" si="23"/>
        <v/>
      </c>
    </row>
    <row r="22" spans="2:87" ht="21.75" customHeight="1">
      <c r="B22" s="38">
        <v>17</v>
      </c>
      <c r="C22" s="41"/>
      <c r="D22" s="45"/>
      <c r="E22" s="45"/>
      <c r="F22" s="45"/>
      <c r="G22" s="45"/>
      <c r="H22" s="45"/>
      <c r="I22" s="45"/>
      <c r="J22" s="45"/>
      <c r="K22" s="53"/>
      <c r="L22" s="53"/>
      <c r="M22" s="53"/>
      <c r="N22" s="45"/>
      <c r="O22" s="45"/>
      <c r="R22" s="4">
        <f t="shared" si="0"/>
        <v>17</v>
      </c>
      <c r="S22" s="1" t="str">
        <f t="shared" si="1"/>
        <v/>
      </c>
      <c r="T22" s="4"/>
      <c r="U22" s="4"/>
      <c r="V22" s="4"/>
      <c r="W22" s="4"/>
      <c r="X22" s="4"/>
      <c r="Y22" s="4"/>
      <c r="Z22" s="4"/>
      <c r="AA22" s="2" t="str">
        <f t="shared" si="2"/>
        <v/>
      </c>
      <c r="AB22" s="2" t="str">
        <f t="shared" si="3"/>
        <v/>
      </c>
      <c r="AC22" s="4">
        <f t="shared" si="4"/>
        <v>17</v>
      </c>
      <c r="AD22" s="1" t="str">
        <f t="shared" si="5"/>
        <v/>
      </c>
      <c r="AE22" s="4"/>
      <c r="AF22" s="4"/>
      <c r="AG22" s="4"/>
      <c r="AH22" s="4"/>
      <c r="AI22" s="4"/>
      <c r="AJ22" s="4"/>
      <c r="AK22" s="4"/>
      <c r="AL22" s="2" t="str">
        <f t="shared" si="6"/>
        <v/>
      </c>
      <c r="AM22" s="2" t="str">
        <f t="shared" si="7"/>
        <v/>
      </c>
      <c r="AN22" s="4">
        <f t="shared" si="8"/>
        <v>17</v>
      </c>
      <c r="AO22" s="1" t="str">
        <f t="shared" si="9"/>
        <v/>
      </c>
      <c r="AP22" s="4"/>
      <c r="AQ22" s="4"/>
      <c r="AR22" s="4"/>
      <c r="AS22" s="4"/>
      <c r="AT22" s="4"/>
      <c r="AU22" s="4"/>
      <c r="AV22" s="4"/>
      <c r="AW22" s="2" t="str">
        <f t="shared" si="10"/>
        <v/>
      </c>
      <c r="AX22" s="23" t="str">
        <f t="shared" si="11"/>
        <v/>
      </c>
      <c r="AY22" s="4">
        <f t="shared" si="12"/>
        <v>17</v>
      </c>
      <c r="AZ22" s="1" t="str">
        <f t="shared" si="13"/>
        <v/>
      </c>
      <c r="BA22" s="4"/>
      <c r="BB22" s="4"/>
      <c r="BC22" s="4"/>
      <c r="BD22" s="4"/>
      <c r="BE22" s="4"/>
      <c r="BF22" s="4"/>
      <c r="BG22" s="4"/>
      <c r="BH22" s="2" t="str">
        <f t="shared" si="14"/>
        <v/>
      </c>
      <c r="BI22" s="2" t="str">
        <f t="shared" si="15"/>
        <v/>
      </c>
      <c r="BJ22" s="4">
        <f t="shared" si="16"/>
        <v>17</v>
      </c>
      <c r="BK22" s="1" t="str">
        <f t="shared" si="17"/>
        <v/>
      </c>
      <c r="BL22" s="23"/>
      <c r="BM22" s="23"/>
      <c r="BN22" s="23"/>
      <c r="BO22" s="4"/>
      <c r="BP22" s="4"/>
      <c r="BQ22" s="23"/>
      <c r="BR22" s="4"/>
      <c r="BS22" s="4"/>
      <c r="BT22" s="23"/>
      <c r="BU22" s="23"/>
      <c r="BV22" s="23"/>
      <c r="BW22" s="4"/>
      <c r="BX22" s="4"/>
      <c r="BY22" s="23"/>
      <c r="BZ22" s="4"/>
      <c r="CA22" s="2" t="str">
        <f t="shared" si="18"/>
        <v/>
      </c>
      <c r="CB22" s="2" t="str">
        <f t="shared" si="19"/>
        <v/>
      </c>
      <c r="CC22" s="4">
        <f t="shared" si="20"/>
        <v>17</v>
      </c>
      <c r="CD22" s="1" t="str">
        <f t="shared" si="21"/>
        <v/>
      </c>
      <c r="CE22" s="23"/>
      <c r="CF22" s="4"/>
      <c r="CG22" s="4"/>
      <c r="CH22" s="2" t="str">
        <f t="shared" si="22"/>
        <v/>
      </c>
      <c r="CI22" s="2" t="str">
        <f t="shared" si="23"/>
        <v/>
      </c>
    </row>
    <row r="23" spans="2:87" ht="21.75" customHeight="1">
      <c r="B23" s="38">
        <v>18</v>
      </c>
      <c r="C23" s="54"/>
      <c r="D23" s="49"/>
      <c r="E23" s="49"/>
      <c r="F23" s="49"/>
      <c r="G23" s="49"/>
      <c r="H23" s="49"/>
      <c r="I23" s="49"/>
      <c r="J23" s="49"/>
      <c r="K23" s="40"/>
      <c r="L23" s="40"/>
      <c r="M23" s="40"/>
      <c r="N23" s="49"/>
      <c r="O23" s="49"/>
      <c r="R23" s="4">
        <f t="shared" si="0"/>
        <v>18</v>
      </c>
      <c r="S23" s="1" t="str">
        <f t="shared" si="1"/>
        <v/>
      </c>
      <c r="T23" s="4"/>
      <c r="U23" s="4"/>
      <c r="V23" s="4"/>
      <c r="W23" s="4"/>
      <c r="X23" s="4"/>
      <c r="Y23" s="4"/>
      <c r="Z23" s="4"/>
      <c r="AA23" s="25" t="str">
        <f t="shared" si="2"/>
        <v/>
      </c>
      <c r="AB23" s="25" t="str">
        <f t="shared" si="3"/>
        <v/>
      </c>
      <c r="AC23" s="4">
        <f t="shared" si="4"/>
        <v>18</v>
      </c>
      <c r="AD23" s="1" t="str">
        <f t="shared" si="5"/>
        <v/>
      </c>
      <c r="AE23" s="4"/>
      <c r="AF23" s="4"/>
      <c r="AG23" s="4"/>
      <c r="AH23" s="4"/>
      <c r="AI23" s="4"/>
      <c r="AJ23" s="4"/>
      <c r="AK23" s="4"/>
      <c r="AL23" s="25" t="str">
        <f t="shared" si="6"/>
        <v/>
      </c>
      <c r="AM23" s="25" t="str">
        <f t="shared" si="7"/>
        <v/>
      </c>
      <c r="AN23" s="4">
        <f t="shared" si="8"/>
        <v>18</v>
      </c>
      <c r="AO23" s="1" t="str">
        <f t="shared" si="9"/>
        <v/>
      </c>
      <c r="AP23" s="4"/>
      <c r="AQ23" s="4"/>
      <c r="AR23" s="4"/>
      <c r="AS23" s="4"/>
      <c r="AT23" s="4"/>
      <c r="AU23" s="4"/>
      <c r="AV23" s="4"/>
      <c r="AW23" s="2" t="str">
        <f t="shared" si="10"/>
        <v/>
      </c>
      <c r="AX23" s="23" t="str">
        <f t="shared" si="11"/>
        <v/>
      </c>
      <c r="AY23" s="4">
        <f t="shared" si="12"/>
        <v>18</v>
      </c>
      <c r="AZ23" s="1" t="str">
        <f t="shared" si="13"/>
        <v/>
      </c>
      <c r="BA23" s="4"/>
      <c r="BB23" s="4"/>
      <c r="BC23" s="4"/>
      <c r="BD23" s="4"/>
      <c r="BE23" s="4"/>
      <c r="BF23" s="4"/>
      <c r="BG23" s="4"/>
      <c r="BH23" s="25" t="str">
        <f t="shared" si="14"/>
        <v/>
      </c>
      <c r="BI23" s="25" t="str">
        <f t="shared" si="15"/>
        <v/>
      </c>
      <c r="BJ23" s="4">
        <f t="shared" si="16"/>
        <v>18</v>
      </c>
      <c r="BK23" s="1" t="str">
        <f t="shared" si="17"/>
        <v/>
      </c>
      <c r="BL23" s="23"/>
      <c r="BM23" s="23"/>
      <c r="BN23" s="23"/>
      <c r="BO23" s="4"/>
      <c r="BP23" s="4"/>
      <c r="BQ23" s="23"/>
      <c r="BR23" s="4"/>
      <c r="BS23" s="4"/>
      <c r="BT23" s="23"/>
      <c r="BU23" s="23"/>
      <c r="BV23" s="23"/>
      <c r="BW23" s="4"/>
      <c r="BX23" s="4"/>
      <c r="BY23" s="23"/>
      <c r="BZ23" s="4"/>
      <c r="CA23" s="25" t="str">
        <f t="shared" si="18"/>
        <v/>
      </c>
      <c r="CB23" s="25" t="str">
        <f t="shared" si="19"/>
        <v/>
      </c>
      <c r="CC23" s="4">
        <f t="shared" si="20"/>
        <v>18</v>
      </c>
      <c r="CD23" s="1" t="str">
        <f t="shared" si="21"/>
        <v/>
      </c>
      <c r="CE23" s="23"/>
      <c r="CF23" s="4"/>
      <c r="CG23" s="4"/>
      <c r="CH23" s="25" t="str">
        <f t="shared" si="22"/>
        <v/>
      </c>
      <c r="CI23" s="25" t="str">
        <f t="shared" si="23"/>
        <v/>
      </c>
    </row>
    <row r="24" spans="2:87" ht="21.75" customHeight="1">
      <c r="B24" s="38">
        <v>19</v>
      </c>
      <c r="C24" s="41"/>
      <c r="D24" s="45"/>
      <c r="E24" s="45"/>
      <c r="F24" s="45"/>
      <c r="G24" s="45"/>
      <c r="H24" s="45"/>
      <c r="I24" s="45"/>
      <c r="J24" s="45"/>
      <c r="K24" s="38"/>
      <c r="L24" s="38"/>
      <c r="M24" s="38"/>
      <c r="N24" s="45"/>
      <c r="O24" s="45"/>
      <c r="R24" s="4">
        <f t="shared" si="0"/>
        <v>19</v>
      </c>
      <c r="S24" s="1" t="str">
        <f t="shared" si="1"/>
        <v/>
      </c>
      <c r="T24" s="4"/>
      <c r="U24" s="4"/>
      <c r="V24" s="4"/>
      <c r="W24" s="4"/>
      <c r="X24" s="4"/>
      <c r="Y24" s="4"/>
      <c r="Z24" s="4"/>
      <c r="AA24" s="2" t="str">
        <f t="shared" si="2"/>
        <v/>
      </c>
      <c r="AB24" s="2" t="str">
        <f t="shared" si="3"/>
        <v/>
      </c>
      <c r="AC24" s="4">
        <f t="shared" si="4"/>
        <v>19</v>
      </c>
      <c r="AD24" s="1" t="str">
        <f t="shared" si="5"/>
        <v/>
      </c>
      <c r="AE24" s="4"/>
      <c r="AF24" s="4"/>
      <c r="AG24" s="4"/>
      <c r="AH24" s="4"/>
      <c r="AI24" s="4"/>
      <c r="AJ24" s="4"/>
      <c r="AK24" s="4"/>
      <c r="AL24" s="2" t="str">
        <f t="shared" si="6"/>
        <v/>
      </c>
      <c r="AM24" s="2" t="str">
        <f t="shared" si="7"/>
        <v/>
      </c>
      <c r="AN24" s="4">
        <f t="shared" si="8"/>
        <v>19</v>
      </c>
      <c r="AO24" s="1" t="str">
        <f t="shared" si="9"/>
        <v/>
      </c>
      <c r="AP24" s="4"/>
      <c r="AQ24" s="4"/>
      <c r="AR24" s="4"/>
      <c r="AS24" s="4"/>
      <c r="AT24" s="4"/>
      <c r="AU24" s="4"/>
      <c r="AV24" s="4"/>
      <c r="AW24" s="2" t="str">
        <f t="shared" si="10"/>
        <v/>
      </c>
      <c r="AX24" s="23" t="str">
        <f t="shared" si="11"/>
        <v/>
      </c>
      <c r="AY24" s="4">
        <f t="shared" si="12"/>
        <v>19</v>
      </c>
      <c r="AZ24" s="1" t="str">
        <f t="shared" si="13"/>
        <v/>
      </c>
      <c r="BA24" s="4"/>
      <c r="BB24" s="4"/>
      <c r="BC24" s="4"/>
      <c r="BD24" s="4"/>
      <c r="BE24" s="4"/>
      <c r="BF24" s="4"/>
      <c r="BG24" s="4"/>
      <c r="BH24" s="2" t="str">
        <f t="shared" si="14"/>
        <v/>
      </c>
      <c r="BI24" s="2" t="str">
        <f t="shared" si="15"/>
        <v/>
      </c>
      <c r="BJ24" s="4">
        <f t="shared" si="16"/>
        <v>19</v>
      </c>
      <c r="BK24" s="1" t="str">
        <f t="shared" si="17"/>
        <v/>
      </c>
      <c r="BL24" s="23"/>
      <c r="BM24" s="23"/>
      <c r="BN24" s="23"/>
      <c r="BO24" s="4"/>
      <c r="BP24" s="4"/>
      <c r="BQ24" s="23"/>
      <c r="BR24" s="4"/>
      <c r="BS24" s="4"/>
      <c r="BT24" s="23"/>
      <c r="BU24" s="23"/>
      <c r="BV24" s="23"/>
      <c r="BW24" s="4"/>
      <c r="BX24" s="4"/>
      <c r="BY24" s="23"/>
      <c r="BZ24" s="4"/>
      <c r="CA24" s="2" t="str">
        <f t="shared" si="18"/>
        <v/>
      </c>
      <c r="CB24" s="2" t="str">
        <f t="shared" si="19"/>
        <v/>
      </c>
      <c r="CC24" s="4">
        <f t="shared" si="20"/>
        <v>19</v>
      </c>
      <c r="CD24" s="1" t="str">
        <f t="shared" si="21"/>
        <v/>
      </c>
      <c r="CE24" s="23"/>
      <c r="CF24" s="4"/>
      <c r="CG24" s="4"/>
      <c r="CH24" s="2" t="str">
        <f t="shared" si="22"/>
        <v/>
      </c>
      <c r="CI24" s="2" t="str">
        <f t="shared" si="23"/>
        <v/>
      </c>
    </row>
    <row r="25" spans="2:87" ht="21.75" customHeight="1">
      <c r="B25" s="38">
        <v>20</v>
      </c>
      <c r="C25" s="41"/>
      <c r="D25" s="45"/>
      <c r="E25" s="45"/>
      <c r="F25" s="45"/>
      <c r="G25" s="45"/>
      <c r="H25" s="45"/>
      <c r="I25" s="45"/>
      <c r="J25" s="45"/>
      <c r="K25" s="38"/>
      <c r="L25" s="38"/>
      <c r="M25" s="38"/>
      <c r="N25" s="45"/>
      <c r="O25" s="45"/>
      <c r="R25" s="4">
        <f t="shared" si="0"/>
        <v>20</v>
      </c>
      <c r="S25" s="1" t="str">
        <f t="shared" si="1"/>
        <v/>
      </c>
      <c r="T25" s="4"/>
      <c r="U25" s="4"/>
      <c r="V25" s="4"/>
      <c r="W25" s="4"/>
      <c r="X25" s="4"/>
      <c r="Y25" s="4"/>
      <c r="Z25" s="4"/>
      <c r="AA25" s="2" t="str">
        <f t="shared" si="2"/>
        <v/>
      </c>
      <c r="AB25" s="2" t="str">
        <f t="shared" si="3"/>
        <v/>
      </c>
      <c r="AC25" s="4">
        <f t="shared" si="4"/>
        <v>20</v>
      </c>
      <c r="AD25" s="1" t="str">
        <f t="shared" si="5"/>
        <v/>
      </c>
      <c r="AE25" s="4"/>
      <c r="AF25" s="4"/>
      <c r="AG25" s="4"/>
      <c r="AH25" s="4"/>
      <c r="AI25" s="4"/>
      <c r="AJ25" s="4"/>
      <c r="AK25" s="4"/>
      <c r="AL25" s="2" t="str">
        <f t="shared" si="6"/>
        <v/>
      </c>
      <c r="AM25" s="2" t="str">
        <f t="shared" si="7"/>
        <v/>
      </c>
      <c r="AN25" s="4">
        <f t="shared" si="8"/>
        <v>20</v>
      </c>
      <c r="AO25" s="1" t="str">
        <f t="shared" si="9"/>
        <v/>
      </c>
      <c r="AP25" s="4"/>
      <c r="AQ25" s="4"/>
      <c r="AR25" s="4"/>
      <c r="AS25" s="4"/>
      <c r="AT25" s="4"/>
      <c r="AU25" s="4"/>
      <c r="AV25" s="4"/>
      <c r="AW25" s="2" t="str">
        <f t="shared" si="10"/>
        <v/>
      </c>
      <c r="AX25" s="23" t="str">
        <f t="shared" si="11"/>
        <v/>
      </c>
      <c r="AY25" s="4">
        <f t="shared" si="12"/>
        <v>20</v>
      </c>
      <c r="AZ25" s="1" t="str">
        <f t="shared" si="13"/>
        <v/>
      </c>
      <c r="BA25" s="4"/>
      <c r="BB25" s="4"/>
      <c r="BC25" s="4"/>
      <c r="BD25" s="4"/>
      <c r="BE25" s="4"/>
      <c r="BF25" s="4"/>
      <c r="BG25" s="4"/>
      <c r="BH25" s="2" t="str">
        <f t="shared" si="14"/>
        <v/>
      </c>
      <c r="BI25" s="2" t="str">
        <f t="shared" si="15"/>
        <v/>
      </c>
      <c r="BJ25" s="4">
        <f t="shared" si="16"/>
        <v>20</v>
      </c>
      <c r="BK25" s="1" t="str">
        <f t="shared" si="17"/>
        <v/>
      </c>
      <c r="BL25" s="23"/>
      <c r="BM25" s="23"/>
      <c r="BN25" s="23"/>
      <c r="BO25" s="4"/>
      <c r="BP25" s="4"/>
      <c r="BQ25" s="23"/>
      <c r="BR25" s="4"/>
      <c r="BS25" s="4"/>
      <c r="BT25" s="23"/>
      <c r="BU25" s="23"/>
      <c r="BV25" s="23"/>
      <c r="BW25" s="4"/>
      <c r="BX25" s="4"/>
      <c r="BY25" s="23"/>
      <c r="BZ25" s="4"/>
      <c r="CA25" s="2" t="str">
        <f t="shared" si="18"/>
        <v/>
      </c>
      <c r="CB25" s="2" t="str">
        <f t="shared" si="19"/>
        <v/>
      </c>
      <c r="CC25" s="4">
        <f t="shared" si="20"/>
        <v>20</v>
      </c>
      <c r="CD25" s="1" t="str">
        <f t="shared" si="21"/>
        <v/>
      </c>
      <c r="CE25" s="23"/>
      <c r="CF25" s="4"/>
      <c r="CG25" s="4"/>
      <c r="CH25" s="2" t="str">
        <f t="shared" si="22"/>
        <v/>
      </c>
      <c r="CI25" s="2" t="str">
        <f t="shared" si="23"/>
        <v/>
      </c>
    </row>
    <row r="26" spans="2:87" ht="21.75" customHeight="1">
      <c r="B26" s="38">
        <v>21</v>
      </c>
      <c r="C26" s="41"/>
      <c r="D26" s="45"/>
      <c r="E26" s="45"/>
      <c r="F26" s="45"/>
      <c r="G26" s="45"/>
      <c r="H26" s="45"/>
      <c r="I26" s="45"/>
      <c r="J26" s="45"/>
      <c r="K26" s="38"/>
      <c r="L26" s="38"/>
      <c r="M26" s="38"/>
      <c r="N26" s="45"/>
      <c r="O26" s="45"/>
      <c r="R26" s="4">
        <f t="shared" si="0"/>
        <v>21</v>
      </c>
      <c r="S26" s="1" t="str">
        <f t="shared" si="1"/>
        <v/>
      </c>
      <c r="T26" s="4"/>
      <c r="U26" s="4"/>
      <c r="V26" s="4"/>
      <c r="W26" s="4"/>
      <c r="X26" s="4"/>
      <c r="Y26" s="4"/>
      <c r="Z26" s="4"/>
      <c r="AA26" s="2" t="str">
        <f t="shared" si="2"/>
        <v/>
      </c>
      <c r="AB26" s="2" t="str">
        <f t="shared" si="3"/>
        <v/>
      </c>
      <c r="AC26" s="4">
        <f t="shared" si="4"/>
        <v>21</v>
      </c>
      <c r="AD26" s="1" t="str">
        <f t="shared" si="5"/>
        <v/>
      </c>
      <c r="AE26" s="4"/>
      <c r="AF26" s="4"/>
      <c r="AG26" s="4"/>
      <c r="AH26" s="4"/>
      <c r="AI26" s="4"/>
      <c r="AJ26" s="4"/>
      <c r="AK26" s="4"/>
      <c r="AL26" s="2" t="str">
        <f t="shared" si="6"/>
        <v/>
      </c>
      <c r="AM26" s="2" t="str">
        <f t="shared" si="7"/>
        <v/>
      </c>
      <c r="AN26" s="4">
        <f t="shared" si="8"/>
        <v>21</v>
      </c>
      <c r="AO26" s="1" t="str">
        <f t="shared" si="9"/>
        <v/>
      </c>
      <c r="AP26" s="4"/>
      <c r="AQ26" s="4"/>
      <c r="AR26" s="4"/>
      <c r="AS26" s="4"/>
      <c r="AT26" s="4"/>
      <c r="AU26" s="4"/>
      <c r="AV26" s="4"/>
      <c r="AW26" s="2" t="str">
        <f t="shared" si="10"/>
        <v/>
      </c>
      <c r="AX26" s="23" t="str">
        <f t="shared" si="11"/>
        <v/>
      </c>
      <c r="AY26" s="4">
        <f t="shared" si="12"/>
        <v>21</v>
      </c>
      <c r="AZ26" s="1" t="str">
        <f t="shared" si="13"/>
        <v/>
      </c>
      <c r="BA26" s="4"/>
      <c r="BB26" s="4"/>
      <c r="BC26" s="4"/>
      <c r="BD26" s="4"/>
      <c r="BE26" s="4"/>
      <c r="BF26" s="4"/>
      <c r="BG26" s="4"/>
      <c r="BH26" s="2" t="str">
        <f t="shared" si="14"/>
        <v/>
      </c>
      <c r="BI26" s="2" t="str">
        <f t="shared" si="15"/>
        <v/>
      </c>
      <c r="BJ26" s="4">
        <f t="shared" si="16"/>
        <v>21</v>
      </c>
      <c r="BK26" s="1" t="str">
        <f t="shared" si="17"/>
        <v/>
      </c>
      <c r="BL26" s="23"/>
      <c r="BM26" s="23"/>
      <c r="BN26" s="23"/>
      <c r="BO26" s="4"/>
      <c r="BP26" s="4"/>
      <c r="BQ26" s="23"/>
      <c r="BR26" s="4"/>
      <c r="BS26" s="4"/>
      <c r="BT26" s="23"/>
      <c r="BU26" s="23"/>
      <c r="BV26" s="23"/>
      <c r="BW26" s="4"/>
      <c r="BX26" s="4"/>
      <c r="BY26" s="23"/>
      <c r="BZ26" s="4"/>
      <c r="CA26" s="2" t="str">
        <f t="shared" si="18"/>
        <v/>
      </c>
      <c r="CB26" s="2" t="str">
        <f t="shared" si="19"/>
        <v/>
      </c>
      <c r="CC26" s="4">
        <f t="shared" si="20"/>
        <v>21</v>
      </c>
      <c r="CD26" s="1" t="str">
        <f t="shared" si="21"/>
        <v/>
      </c>
      <c r="CE26" s="23"/>
      <c r="CF26" s="4"/>
      <c r="CG26" s="4"/>
      <c r="CH26" s="2" t="str">
        <f t="shared" si="22"/>
        <v/>
      </c>
      <c r="CI26" s="2" t="str">
        <f t="shared" si="23"/>
        <v/>
      </c>
    </row>
    <row r="27" spans="2:87" ht="21.75" customHeight="1">
      <c r="B27" s="38">
        <v>22</v>
      </c>
      <c r="C27" s="41"/>
      <c r="D27" s="45"/>
      <c r="E27" s="45"/>
      <c r="F27" s="45"/>
      <c r="G27" s="45"/>
      <c r="H27" s="45"/>
      <c r="I27" s="45"/>
      <c r="J27" s="45"/>
      <c r="K27" s="39"/>
      <c r="L27" s="39"/>
      <c r="M27" s="39"/>
      <c r="N27" s="45"/>
      <c r="O27" s="45"/>
      <c r="R27" s="4">
        <f t="shared" si="0"/>
        <v>22</v>
      </c>
      <c r="S27" s="1" t="str">
        <f t="shared" si="1"/>
        <v/>
      </c>
      <c r="T27" s="4"/>
      <c r="U27" s="4"/>
      <c r="V27" s="4"/>
      <c r="W27" s="4"/>
      <c r="X27" s="4"/>
      <c r="Y27" s="4"/>
      <c r="Z27" s="4"/>
      <c r="AA27" s="2" t="str">
        <f t="shared" si="2"/>
        <v/>
      </c>
      <c r="AB27" s="2" t="str">
        <f t="shared" si="3"/>
        <v/>
      </c>
      <c r="AC27" s="4">
        <f t="shared" si="4"/>
        <v>22</v>
      </c>
      <c r="AD27" s="1" t="str">
        <f t="shared" si="5"/>
        <v/>
      </c>
      <c r="AE27" s="4"/>
      <c r="AF27" s="4"/>
      <c r="AG27" s="4"/>
      <c r="AH27" s="4"/>
      <c r="AI27" s="4"/>
      <c r="AJ27" s="4"/>
      <c r="AK27" s="4"/>
      <c r="AL27" s="2" t="str">
        <f t="shared" si="6"/>
        <v/>
      </c>
      <c r="AM27" s="2" t="str">
        <f t="shared" si="7"/>
        <v/>
      </c>
      <c r="AN27" s="4">
        <f t="shared" si="8"/>
        <v>22</v>
      </c>
      <c r="AO27" s="1" t="str">
        <f t="shared" si="9"/>
        <v/>
      </c>
      <c r="AP27" s="4"/>
      <c r="AQ27" s="4"/>
      <c r="AR27" s="4"/>
      <c r="AS27" s="4"/>
      <c r="AT27" s="4"/>
      <c r="AU27" s="4"/>
      <c r="AV27" s="4"/>
      <c r="AW27" s="2" t="str">
        <f t="shared" si="10"/>
        <v/>
      </c>
      <c r="AX27" s="23" t="str">
        <f t="shared" si="11"/>
        <v/>
      </c>
      <c r="AY27" s="4">
        <f t="shared" si="12"/>
        <v>22</v>
      </c>
      <c r="AZ27" s="1" t="str">
        <f t="shared" si="13"/>
        <v/>
      </c>
      <c r="BA27" s="4"/>
      <c r="BB27" s="4"/>
      <c r="BC27" s="4"/>
      <c r="BD27" s="4"/>
      <c r="BE27" s="4"/>
      <c r="BF27" s="4"/>
      <c r="BG27" s="4"/>
      <c r="BH27" s="2" t="str">
        <f t="shared" si="14"/>
        <v/>
      </c>
      <c r="BI27" s="2" t="str">
        <f t="shared" si="15"/>
        <v/>
      </c>
      <c r="BJ27" s="4">
        <f t="shared" si="16"/>
        <v>22</v>
      </c>
      <c r="BK27" s="1" t="str">
        <f t="shared" si="17"/>
        <v/>
      </c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2" t="str">
        <f t="shared" si="18"/>
        <v/>
      </c>
      <c r="CB27" s="2" t="str">
        <f t="shared" si="19"/>
        <v/>
      </c>
      <c r="CC27" s="4">
        <f t="shared" si="20"/>
        <v>22</v>
      </c>
      <c r="CD27" s="1" t="str">
        <f t="shared" si="21"/>
        <v/>
      </c>
      <c r="CE27" s="4"/>
      <c r="CF27" s="4"/>
      <c r="CG27" s="4"/>
      <c r="CH27" s="2" t="str">
        <f t="shared" si="22"/>
        <v/>
      </c>
      <c r="CI27" s="2" t="str">
        <f t="shared" si="23"/>
        <v/>
      </c>
    </row>
    <row r="28" spans="2:87" ht="21.75" customHeight="1">
      <c r="B28" s="38">
        <v>23</v>
      </c>
      <c r="C28" s="41"/>
      <c r="D28" s="45"/>
      <c r="E28" s="45"/>
      <c r="F28" s="45"/>
      <c r="G28" s="45"/>
      <c r="H28" s="45"/>
      <c r="I28" s="45"/>
      <c r="J28" s="45"/>
      <c r="K28" s="39"/>
      <c r="L28" s="39"/>
      <c r="M28" s="39"/>
      <c r="N28" s="45"/>
      <c r="O28" s="45"/>
      <c r="R28" s="4">
        <f t="shared" si="0"/>
        <v>23</v>
      </c>
      <c r="S28" s="1" t="str">
        <f t="shared" si="1"/>
        <v/>
      </c>
      <c r="T28" s="4"/>
      <c r="U28" s="4"/>
      <c r="V28" s="4"/>
      <c r="W28" s="4"/>
      <c r="X28" s="4"/>
      <c r="Y28" s="4"/>
      <c r="Z28" s="4"/>
      <c r="AA28" s="2" t="str">
        <f t="shared" si="2"/>
        <v/>
      </c>
      <c r="AB28" s="2" t="str">
        <f t="shared" si="3"/>
        <v/>
      </c>
      <c r="AC28" s="4">
        <f t="shared" si="4"/>
        <v>23</v>
      </c>
      <c r="AD28" s="1" t="str">
        <f t="shared" si="5"/>
        <v/>
      </c>
      <c r="AE28" s="4"/>
      <c r="AF28" s="4"/>
      <c r="AG28" s="4"/>
      <c r="AH28" s="4"/>
      <c r="AI28" s="4"/>
      <c r="AJ28" s="4"/>
      <c r="AK28" s="4"/>
      <c r="AL28" s="2" t="str">
        <f t="shared" si="6"/>
        <v/>
      </c>
      <c r="AM28" s="2" t="str">
        <f t="shared" si="7"/>
        <v/>
      </c>
      <c r="AN28" s="4">
        <f t="shared" si="8"/>
        <v>23</v>
      </c>
      <c r="AO28" s="1" t="str">
        <f t="shared" si="9"/>
        <v/>
      </c>
      <c r="AP28" s="4"/>
      <c r="AQ28" s="4"/>
      <c r="AR28" s="4"/>
      <c r="AS28" s="4"/>
      <c r="AT28" s="4"/>
      <c r="AU28" s="4"/>
      <c r="AV28" s="4"/>
      <c r="AW28" s="2" t="str">
        <f t="shared" si="10"/>
        <v/>
      </c>
      <c r="AX28" s="23" t="str">
        <f t="shared" si="11"/>
        <v/>
      </c>
      <c r="AY28" s="4">
        <f t="shared" si="12"/>
        <v>23</v>
      </c>
      <c r="AZ28" s="1" t="str">
        <f t="shared" si="13"/>
        <v/>
      </c>
      <c r="BA28" s="4"/>
      <c r="BB28" s="4"/>
      <c r="BC28" s="4"/>
      <c r="BD28" s="4"/>
      <c r="BE28" s="4"/>
      <c r="BF28" s="4"/>
      <c r="BG28" s="4"/>
      <c r="BH28" s="2" t="str">
        <f t="shared" si="14"/>
        <v/>
      </c>
      <c r="BI28" s="2" t="str">
        <f t="shared" si="15"/>
        <v/>
      </c>
      <c r="BJ28" s="4">
        <f t="shared" si="16"/>
        <v>23</v>
      </c>
      <c r="BK28" s="1" t="str">
        <f t="shared" si="17"/>
        <v/>
      </c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2" t="str">
        <f t="shared" si="18"/>
        <v/>
      </c>
      <c r="CB28" s="2" t="str">
        <f t="shared" si="19"/>
        <v/>
      </c>
      <c r="CC28" s="4">
        <f t="shared" si="20"/>
        <v>23</v>
      </c>
      <c r="CD28" s="1" t="str">
        <f t="shared" si="21"/>
        <v/>
      </c>
      <c r="CE28" s="4"/>
      <c r="CF28" s="4"/>
      <c r="CG28" s="4"/>
      <c r="CH28" s="2" t="str">
        <f t="shared" si="22"/>
        <v/>
      </c>
      <c r="CI28" s="2" t="str">
        <f t="shared" si="23"/>
        <v/>
      </c>
    </row>
    <row r="29" spans="2:87" ht="21.75" customHeight="1">
      <c r="B29" s="38">
        <v>24</v>
      </c>
      <c r="C29" s="41"/>
      <c r="D29" s="45"/>
      <c r="E29" s="45"/>
      <c r="F29" s="45"/>
      <c r="G29" s="45"/>
      <c r="H29" s="45"/>
      <c r="I29" s="45"/>
      <c r="J29" s="45"/>
      <c r="K29" s="39"/>
      <c r="L29" s="39"/>
      <c r="M29" s="39"/>
      <c r="N29" s="45"/>
      <c r="O29" s="45"/>
      <c r="R29" s="4">
        <f t="shared" si="0"/>
        <v>24</v>
      </c>
      <c r="S29" s="1" t="str">
        <f t="shared" si="1"/>
        <v/>
      </c>
      <c r="T29" s="4"/>
      <c r="U29" s="4"/>
      <c r="V29" s="4"/>
      <c r="W29" s="4"/>
      <c r="X29" s="4"/>
      <c r="Y29" s="4"/>
      <c r="Z29" s="4"/>
      <c r="AA29" s="2" t="str">
        <f t="shared" si="2"/>
        <v/>
      </c>
      <c r="AB29" s="2" t="str">
        <f t="shared" si="3"/>
        <v/>
      </c>
      <c r="AC29" s="4">
        <f t="shared" si="4"/>
        <v>24</v>
      </c>
      <c r="AD29" s="1" t="str">
        <f t="shared" si="5"/>
        <v/>
      </c>
      <c r="AE29" s="4"/>
      <c r="AF29" s="4"/>
      <c r="AG29" s="4"/>
      <c r="AH29" s="4"/>
      <c r="AI29" s="4"/>
      <c r="AJ29" s="4"/>
      <c r="AK29" s="4"/>
      <c r="AL29" s="2" t="str">
        <f t="shared" si="6"/>
        <v/>
      </c>
      <c r="AM29" s="2" t="str">
        <f t="shared" si="7"/>
        <v/>
      </c>
      <c r="AN29" s="4">
        <f t="shared" si="8"/>
        <v>24</v>
      </c>
      <c r="AO29" s="1" t="str">
        <f t="shared" si="9"/>
        <v/>
      </c>
      <c r="AP29" s="4"/>
      <c r="AQ29" s="4"/>
      <c r="AR29" s="4"/>
      <c r="AS29" s="4"/>
      <c r="AT29" s="4"/>
      <c r="AU29" s="4"/>
      <c r="AV29" s="4"/>
      <c r="AW29" s="2" t="str">
        <f t="shared" si="10"/>
        <v/>
      </c>
      <c r="AX29" s="23" t="str">
        <f t="shared" si="11"/>
        <v/>
      </c>
      <c r="AY29" s="4">
        <f t="shared" si="12"/>
        <v>24</v>
      </c>
      <c r="AZ29" s="1" t="str">
        <f t="shared" si="13"/>
        <v/>
      </c>
      <c r="BA29" s="4"/>
      <c r="BB29" s="4"/>
      <c r="BC29" s="4"/>
      <c r="BD29" s="4"/>
      <c r="BE29" s="4"/>
      <c r="BF29" s="4"/>
      <c r="BG29" s="4"/>
      <c r="BH29" s="2" t="str">
        <f t="shared" si="14"/>
        <v/>
      </c>
      <c r="BI29" s="2" t="str">
        <f t="shared" si="15"/>
        <v/>
      </c>
      <c r="BJ29" s="4">
        <f t="shared" si="16"/>
        <v>24</v>
      </c>
      <c r="BK29" s="1" t="str">
        <f t="shared" si="17"/>
        <v/>
      </c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2" t="str">
        <f t="shared" si="18"/>
        <v/>
      </c>
      <c r="CB29" s="2" t="str">
        <f t="shared" si="19"/>
        <v/>
      </c>
      <c r="CC29" s="4">
        <f t="shared" si="20"/>
        <v>24</v>
      </c>
      <c r="CD29" s="1" t="str">
        <f t="shared" si="21"/>
        <v/>
      </c>
      <c r="CE29" s="4"/>
      <c r="CF29" s="4"/>
      <c r="CG29" s="4"/>
      <c r="CH29" s="2" t="str">
        <f t="shared" si="22"/>
        <v/>
      </c>
      <c r="CI29" s="2" t="str">
        <f t="shared" si="23"/>
        <v/>
      </c>
    </row>
    <row r="30" spans="2:87" ht="21.75" customHeight="1">
      <c r="B30" s="38">
        <v>25</v>
      </c>
      <c r="C30" s="41"/>
      <c r="D30" s="45"/>
      <c r="E30" s="45"/>
      <c r="F30" s="45"/>
      <c r="G30" s="45"/>
      <c r="H30" s="45"/>
      <c r="I30" s="45"/>
      <c r="J30" s="45"/>
      <c r="K30" s="39"/>
      <c r="L30" s="39"/>
      <c r="M30" s="39"/>
      <c r="N30" s="45"/>
      <c r="O30" s="45"/>
      <c r="R30" s="4">
        <f t="shared" si="0"/>
        <v>25</v>
      </c>
      <c r="S30" s="1" t="str">
        <f t="shared" si="1"/>
        <v/>
      </c>
      <c r="T30" s="4"/>
      <c r="U30" s="4"/>
      <c r="V30" s="4"/>
      <c r="W30" s="4"/>
      <c r="X30" s="4"/>
      <c r="Y30" s="4"/>
      <c r="Z30" s="4"/>
      <c r="AA30" s="2" t="str">
        <f t="shared" si="2"/>
        <v/>
      </c>
      <c r="AB30" s="2" t="str">
        <f t="shared" si="3"/>
        <v/>
      </c>
      <c r="AC30" s="4">
        <f t="shared" si="4"/>
        <v>25</v>
      </c>
      <c r="AD30" s="1" t="str">
        <f t="shared" si="5"/>
        <v/>
      </c>
      <c r="AE30" s="4"/>
      <c r="AF30" s="4"/>
      <c r="AG30" s="4"/>
      <c r="AH30" s="4"/>
      <c r="AI30" s="4"/>
      <c r="AJ30" s="4"/>
      <c r="AK30" s="4"/>
      <c r="AL30" s="2" t="str">
        <f t="shared" si="6"/>
        <v/>
      </c>
      <c r="AM30" s="2" t="str">
        <f t="shared" si="7"/>
        <v/>
      </c>
      <c r="AN30" s="4">
        <f t="shared" si="8"/>
        <v>25</v>
      </c>
      <c r="AO30" s="1" t="str">
        <f t="shared" si="9"/>
        <v/>
      </c>
      <c r="AP30" s="4"/>
      <c r="AQ30" s="4"/>
      <c r="AR30" s="4"/>
      <c r="AS30" s="4"/>
      <c r="AT30" s="4"/>
      <c r="AU30" s="4"/>
      <c r="AV30" s="4"/>
      <c r="AW30" s="2" t="str">
        <f t="shared" si="10"/>
        <v/>
      </c>
      <c r="AX30" s="23" t="str">
        <f t="shared" si="11"/>
        <v/>
      </c>
      <c r="AY30" s="4">
        <f t="shared" si="12"/>
        <v>25</v>
      </c>
      <c r="AZ30" s="1" t="str">
        <f t="shared" si="13"/>
        <v/>
      </c>
      <c r="BA30" s="4"/>
      <c r="BB30" s="4"/>
      <c r="BC30" s="4"/>
      <c r="BD30" s="4"/>
      <c r="BE30" s="4"/>
      <c r="BF30" s="4"/>
      <c r="BG30" s="4"/>
      <c r="BH30" s="2" t="str">
        <f t="shared" si="14"/>
        <v/>
      </c>
      <c r="BI30" s="2" t="str">
        <f t="shared" si="15"/>
        <v/>
      </c>
      <c r="BJ30" s="4">
        <f t="shared" si="16"/>
        <v>25</v>
      </c>
      <c r="BK30" s="1" t="str">
        <f t="shared" si="17"/>
        <v/>
      </c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2" t="str">
        <f t="shared" si="18"/>
        <v/>
      </c>
      <c r="CB30" s="2" t="str">
        <f t="shared" si="19"/>
        <v/>
      </c>
      <c r="CC30" s="4">
        <f t="shared" si="20"/>
        <v>25</v>
      </c>
      <c r="CD30" s="1" t="str">
        <f t="shared" si="21"/>
        <v/>
      </c>
      <c r="CE30" s="4"/>
      <c r="CF30" s="4"/>
      <c r="CG30" s="4"/>
      <c r="CH30" s="2" t="str">
        <f t="shared" si="22"/>
        <v/>
      </c>
      <c r="CI30" s="2" t="str">
        <f t="shared" si="23"/>
        <v/>
      </c>
    </row>
    <row r="31" spans="2:87" ht="21.75" customHeight="1">
      <c r="B31" s="38">
        <v>26</v>
      </c>
      <c r="C31" s="41"/>
      <c r="D31" s="45"/>
      <c r="E31" s="45"/>
      <c r="F31" s="45"/>
      <c r="G31" s="45"/>
      <c r="H31" s="45"/>
      <c r="I31" s="45"/>
      <c r="J31" s="45"/>
      <c r="K31" s="39"/>
      <c r="L31" s="39"/>
      <c r="M31" s="39"/>
      <c r="N31" s="45"/>
      <c r="O31" s="45"/>
      <c r="R31" s="4">
        <f t="shared" si="0"/>
        <v>26</v>
      </c>
      <c r="S31" s="1" t="str">
        <f t="shared" si="1"/>
        <v/>
      </c>
      <c r="T31" s="4"/>
      <c r="U31" s="4"/>
      <c r="V31" s="4"/>
      <c r="W31" s="4"/>
      <c r="X31" s="4"/>
      <c r="Y31" s="4"/>
      <c r="Z31" s="4"/>
      <c r="AA31" s="2" t="str">
        <f t="shared" si="2"/>
        <v/>
      </c>
      <c r="AB31" s="2" t="str">
        <f t="shared" si="3"/>
        <v/>
      </c>
      <c r="AC31" s="4">
        <f t="shared" si="4"/>
        <v>26</v>
      </c>
      <c r="AD31" s="1" t="str">
        <f t="shared" si="5"/>
        <v/>
      </c>
      <c r="AE31" s="4"/>
      <c r="AF31" s="4"/>
      <c r="AG31" s="4"/>
      <c r="AH31" s="4"/>
      <c r="AI31" s="4"/>
      <c r="AJ31" s="4"/>
      <c r="AK31" s="4"/>
      <c r="AL31" s="2" t="str">
        <f t="shared" si="6"/>
        <v/>
      </c>
      <c r="AM31" s="2" t="str">
        <f t="shared" si="7"/>
        <v/>
      </c>
      <c r="AN31" s="4">
        <f t="shared" si="8"/>
        <v>26</v>
      </c>
      <c r="AO31" s="1" t="str">
        <f t="shared" si="9"/>
        <v/>
      </c>
      <c r="AP31" s="4"/>
      <c r="AQ31" s="4"/>
      <c r="AR31" s="4"/>
      <c r="AS31" s="4"/>
      <c r="AT31" s="4"/>
      <c r="AU31" s="4"/>
      <c r="AV31" s="4"/>
      <c r="AW31" s="2" t="str">
        <f t="shared" si="10"/>
        <v/>
      </c>
      <c r="AX31" s="23" t="str">
        <f t="shared" si="11"/>
        <v/>
      </c>
      <c r="AY31" s="4">
        <f t="shared" si="12"/>
        <v>26</v>
      </c>
      <c r="AZ31" s="1" t="str">
        <f t="shared" si="13"/>
        <v/>
      </c>
      <c r="BA31" s="4"/>
      <c r="BB31" s="4"/>
      <c r="BC31" s="4"/>
      <c r="BD31" s="4"/>
      <c r="BE31" s="4"/>
      <c r="BF31" s="4"/>
      <c r="BG31" s="4"/>
      <c r="BH31" s="2" t="str">
        <f t="shared" si="14"/>
        <v/>
      </c>
      <c r="BI31" s="2" t="str">
        <f t="shared" si="15"/>
        <v/>
      </c>
      <c r="BJ31" s="4">
        <f t="shared" si="16"/>
        <v>26</v>
      </c>
      <c r="BK31" s="1" t="str">
        <f t="shared" si="17"/>
        <v/>
      </c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2" t="str">
        <f t="shared" si="18"/>
        <v/>
      </c>
      <c r="CB31" s="2" t="str">
        <f t="shared" si="19"/>
        <v/>
      </c>
      <c r="CC31" s="4">
        <f t="shared" si="20"/>
        <v>26</v>
      </c>
      <c r="CD31" s="1" t="str">
        <f t="shared" si="21"/>
        <v/>
      </c>
      <c r="CE31" s="4"/>
      <c r="CF31" s="4"/>
      <c r="CG31" s="4"/>
      <c r="CH31" s="2" t="str">
        <f t="shared" si="22"/>
        <v/>
      </c>
      <c r="CI31" s="2" t="str">
        <f t="shared" si="23"/>
        <v/>
      </c>
    </row>
    <row r="32" spans="2:87" ht="21.75" customHeight="1">
      <c r="B32" s="38">
        <v>27</v>
      </c>
      <c r="C32" s="41"/>
      <c r="D32" s="45"/>
      <c r="E32" s="45"/>
      <c r="F32" s="45"/>
      <c r="G32" s="45"/>
      <c r="H32" s="45"/>
      <c r="I32" s="45"/>
      <c r="J32" s="45"/>
      <c r="K32" s="39"/>
      <c r="L32" s="39"/>
      <c r="M32" s="39"/>
      <c r="N32" s="45"/>
      <c r="O32" s="45"/>
      <c r="R32" s="4">
        <f t="shared" si="0"/>
        <v>27</v>
      </c>
      <c r="S32" s="1" t="str">
        <f t="shared" si="1"/>
        <v/>
      </c>
      <c r="T32" s="4"/>
      <c r="U32" s="4"/>
      <c r="V32" s="4"/>
      <c r="W32" s="4"/>
      <c r="X32" s="4"/>
      <c r="Y32" s="4"/>
      <c r="Z32" s="4"/>
      <c r="AA32" s="2" t="str">
        <f t="shared" si="2"/>
        <v/>
      </c>
      <c r="AB32" s="2" t="str">
        <f t="shared" si="3"/>
        <v/>
      </c>
      <c r="AC32" s="4">
        <f t="shared" si="4"/>
        <v>27</v>
      </c>
      <c r="AD32" s="1" t="str">
        <f t="shared" si="5"/>
        <v/>
      </c>
      <c r="AE32" s="4"/>
      <c r="AF32" s="4"/>
      <c r="AG32" s="4"/>
      <c r="AH32" s="4"/>
      <c r="AI32" s="4"/>
      <c r="AJ32" s="4"/>
      <c r="AK32" s="4"/>
      <c r="AL32" s="2" t="str">
        <f t="shared" si="6"/>
        <v/>
      </c>
      <c r="AM32" s="2" t="str">
        <f t="shared" si="7"/>
        <v/>
      </c>
      <c r="AN32" s="4">
        <f t="shared" si="8"/>
        <v>27</v>
      </c>
      <c r="AO32" s="1" t="str">
        <f t="shared" si="9"/>
        <v/>
      </c>
      <c r="AP32" s="4"/>
      <c r="AQ32" s="4"/>
      <c r="AR32" s="4"/>
      <c r="AS32" s="4"/>
      <c r="AT32" s="4"/>
      <c r="AU32" s="4"/>
      <c r="AV32" s="4"/>
      <c r="AW32" s="2" t="str">
        <f t="shared" si="10"/>
        <v/>
      </c>
      <c r="AX32" s="23" t="str">
        <f t="shared" si="11"/>
        <v/>
      </c>
      <c r="AY32" s="4">
        <f t="shared" si="12"/>
        <v>27</v>
      </c>
      <c r="AZ32" s="1" t="str">
        <f t="shared" si="13"/>
        <v/>
      </c>
      <c r="BA32" s="4"/>
      <c r="BB32" s="4"/>
      <c r="BC32" s="4"/>
      <c r="BD32" s="4"/>
      <c r="BE32" s="4"/>
      <c r="BF32" s="4"/>
      <c r="BG32" s="4"/>
      <c r="BH32" s="2" t="str">
        <f t="shared" si="14"/>
        <v/>
      </c>
      <c r="BI32" s="2" t="str">
        <f t="shared" si="15"/>
        <v/>
      </c>
      <c r="BJ32" s="4">
        <f t="shared" si="16"/>
        <v>27</v>
      </c>
      <c r="BK32" s="1" t="str">
        <f t="shared" si="17"/>
        <v/>
      </c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2" t="str">
        <f t="shared" si="18"/>
        <v/>
      </c>
      <c r="CB32" s="2" t="str">
        <f t="shared" si="19"/>
        <v/>
      </c>
      <c r="CC32" s="4">
        <f t="shared" si="20"/>
        <v>27</v>
      </c>
      <c r="CD32" s="1" t="str">
        <f t="shared" si="21"/>
        <v/>
      </c>
      <c r="CE32" s="4"/>
      <c r="CF32" s="4"/>
      <c r="CG32" s="4"/>
      <c r="CH32" s="2" t="str">
        <f t="shared" si="22"/>
        <v/>
      </c>
      <c r="CI32" s="2" t="str">
        <f t="shared" si="23"/>
        <v/>
      </c>
    </row>
    <row r="33" spans="2:87" ht="21.75" customHeight="1">
      <c r="B33" s="38">
        <v>28</v>
      </c>
      <c r="C33" s="41"/>
      <c r="D33" s="45"/>
      <c r="E33" s="45"/>
      <c r="F33" s="45"/>
      <c r="G33" s="45"/>
      <c r="H33" s="45"/>
      <c r="I33" s="45"/>
      <c r="J33" s="45"/>
      <c r="K33" s="39"/>
      <c r="L33" s="39"/>
      <c r="M33" s="39"/>
      <c r="N33" s="45"/>
      <c r="O33" s="45"/>
      <c r="R33" s="4">
        <f t="shared" si="0"/>
        <v>28</v>
      </c>
      <c r="S33" s="1" t="str">
        <f t="shared" si="1"/>
        <v/>
      </c>
      <c r="T33" s="4"/>
      <c r="U33" s="4"/>
      <c r="V33" s="4"/>
      <c r="W33" s="4"/>
      <c r="X33" s="4"/>
      <c r="Y33" s="4"/>
      <c r="Z33" s="4"/>
      <c r="AA33" s="2" t="str">
        <f t="shared" si="2"/>
        <v/>
      </c>
      <c r="AB33" s="2" t="str">
        <f t="shared" si="3"/>
        <v/>
      </c>
      <c r="AC33" s="4">
        <f t="shared" si="4"/>
        <v>28</v>
      </c>
      <c r="AD33" s="1" t="str">
        <f t="shared" si="5"/>
        <v/>
      </c>
      <c r="AE33" s="4"/>
      <c r="AF33" s="4"/>
      <c r="AG33" s="4"/>
      <c r="AH33" s="4"/>
      <c r="AI33" s="4"/>
      <c r="AJ33" s="4"/>
      <c r="AK33" s="4"/>
      <c r="AL33" s="2" t="str">
        <f t="shared" si="6"/>
        <v/>
      </c>
      <c r="AM33" s="2" t="str">
        <f t="shared" si="7"/>
        <v/>
      </c>
      <c r="AN33" s="4">
        <f t="shared" si="8"/>
        <v>28</v>
      </c>
      <c r="AO33" s="1" t="str">
        <f t="shared" si="9"/>
        <v/>
      </c>
      <c r="AP33" s="4"/>
      <c r="AQ33" s="4"/>
      <c r="AR33" s="4"/>
      <c r="AS33" s="4"/>
      <c r="AT33" s="4"/>
      <c r="AU33" s="4"/>
      <c r="AV33" s="4"/>
      <c r="AW33" s="2" t="str">
        <f t="shared" si="10"/>
        <v/>
      </c>
      <c r="AX33" s="23" t="str">
        <f t="shared" si="11"/>
        <v/>
      </c>
      <c r="AY33" s="4">
        <f t="shared" si="12"/>
        <v>28</v>
      </c>
      <c r="AZ33" s="1" t="str">
        <f t="shared" si="13"/>
        <v/>
      </c>
      <c r="BA33" s="4"/>
      <c r="BB33" s="4"/>
      <c r="BC33" s="4"/>
      <c r="BD33" s="4"/>
      <c r="BE33" s="4"/>
      <c r="BF33" s="4"/>
      <c r="BG33" s="4"/>
      <c r="BH33" s="2" t="str">
        <f t="shared" si="14"/>
        <v/>
      </c>
      <c r="BI33" s="2" t="str">
        <f t="shared" si="15"/>
        <v/>
      </c>
      <c r="BJ33" s="4">
        <f t="shared" si="16"/>
        <v>28</v>
      </c>
      <c r="BK33" s="1" t="str">
        <f t="shared" si="17"/>
        <v/>
      </c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2" t="str">
        <f t="shared" si="18"/>
        <v/>
      </c>
      <c r="CB33" s="2" t="str">
        <f t="shared" si="19"/>
        <v/>
      </c>
      <c r="CC33" s="4">
        <f t="shared" si="20"/>
        <v>28</v>
      </c>
      <c r="CD33" s="1" t="str">
        <f t="shared" si="21"/>
        <v/>
      </c>
      <c r="CE33" s="4"/>
      <c r="CF33" s="4"/>
      <c r="CG33" s="4"/>
      <c r="CH33" s="2" t="str">
        <f t="shared" si="22"/>
        <v/>
      </c>
      <c r="CI33" s="2" t="str">
        <f t="shared" si="23"/>
        <v/>
      </c>
    </row>
    <row r="34" spans="2:87" ht="21.75" customHeight="1">
      <c r="B34" s="38">
        <v>29</v>
      </c>
      <c r="C34" s="41"/>
      <c r="D34" s="45"/>
      <c r="E34" s="45"/>
      <c r="F34" s="45"/>
      <c r="G34" s="45"/>
      <c r="H34" s="45"/>
      <c r="I34" s="45"/>
      <c r="J34" s="45"/>
      <c r="K34" s="39"/>
      <c r="L34" s="39"/>
      <c r="M34" s="39"/>
      <c r="N34" s="45"/>
      <c r="O34" s="45"/>
      <c r="R34" s="4">
        <f t="shared" si="0"/>
        <v>29</v>
      </c>
      <c r="S34" s="1" t="str">
        <f t="shared" si="1"/>
        <v/>
      </c>
      <c r="T34" s="4"/>
      <c r="U34" s="4"/>
      <c r="V34" s="4"/>
      <c r="W34" s="4"/>
      <c r="X34" s="4"/>
      <c r="Y34" s="4"/>
      <c r="Z34" s="4"/>
      <c r="AA34" s="2" t="str">
        <f t="shared" si="2"/>
        <v/>
      </c>
      <c r="AB34" s="2" t="str">
        <f t="shared" si="3"/>
        <v/>
      </c>
      <c r="AC34" s="4">
        <f t="shared" si="4"/>
        <v>29</v>
      </c>
      <c r="AD34" s="1" t="str">
        <f t="shared" si="5"/>
        <v/>
      </c>
      <c r="AE34" s="4"/>
      <c r="AF34" s="4"/>
      <c r="AG34" s="4"/>
      <c r="AH34" s="4"/>
      <c r="AI34" s="4"/>
      <c r="AJ34" s="4"/>
      <c r="AK34" s="4"/>
      <c r="AL34" s="2" t="str">
        <f t="shared" si="6"/>
        <v/>
      </c>
      <c r="AM34" s="2" t="str">
        <f t="shared" si="7"/>
        <v/>
      </c>
      <c r="AN34" s="4">
        <f t="shared" si="8"/>
        <v>29</v>
      </c>
      <c r="AO34" s="1" t="str">
        <f t="shared" si="9"/>
        <v/>
      </c>
      <c r="AP34" s="4"/>
      <c r="AQ34" s="4"/>
      <c r="AR34" s="4"/>
      <c r="AS34" s="4"/>
      <c r="AT34" s="4"/>
      <c r="AU34" s="4"/>
      <c r="AV34" s="4"/>
      <c r="AW34" s="2" t="str">
        <f t="shared" si="10"/>
        <v/>
      </c>
      <c r="AX34" s="23" t="str">
        <f t="shared" si="11"/>
        <v/>
      </c>
      <c r="AY34" s="4">
        <f t="shared" si="12"/>
        <v>29</v>
      </c>
      <c r="AZ34" s="1" t="str">
        <f t="shared" si="13"/>
        <v/>
      </c>
      <c r="BA34" s="4"/>
      <c r="BB34" s="4"/>
      <c r="BC34" s="4"/>
      <c r="BD34" s="4"/>
      <c r="BE34" s="4"/>
      <c r="BF34" s="4"/>
      <c r="BG34" s="4"/>
      <c r="BH34" s="2" t="str">
        <f t="shared" si="14"/>
        <v/>
      </c>
      <c r="BI34" s="2" t="str">
        <f t="shared" si="15"/>
        <v/>
      </c>
      <c r="BJ34" s="4">
        <f t="shared" si="16"/>
        <v>29</v>
      </c>
      <c r="BK34" s="1" t="str">
        <f t="shared" si="17"/>
        <v/>
      </c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2" t="str">
        <f t="shared" si="18"/>
        <v/>
      </c>
      <c r="CB34" s="2" t="str">
        <f t="shared" si="19"/>
        <v/>
      </c>
      <c r="CC34" s="4">
        <f t="shared" si="20"/>
        <v>29</v>
      </c>
      <c r="CD34" s="1" t="str">
        <f t="shared" si="21"/>
        <v/>
      </c>
      <c r="CE34" s="4"/>
      <c r="CF34" s="4"/>
      <c r="CG34" s="4"/>
      <c r="CH34" s="2" t="str">
        <f t="shared" si="22"/>
        <v/>
      </c>
      <c r="CI34" s="2" t="str">
        <f t="shared" si="23"/>
        <v/>
      </c>
    </row>
    <row r="35" spans="2:87" ht="21.75" customHeight="1">
      <c r="B35" s="38">
        <v>30</v>
      </c>
      <c r="C35" s="41"/>
      <c r="D35" s="45"/>
      <c r="E35" s="45"/>
      <c r="F35" s="45"/>
      <c r="G35" s="45"/>
      <c r="H35" s="45"/>
      <c r="I35" s="45"/>
      <c r="J35" s="45"/>
      <c r="K35" s="39"/>
      <c r="L35" s="39"/>
      <c r="M35" s="39"/>
      <c r="N35" s="45"/>
      <c r="O35" s="45"/>
      <c r="R35" s="4">
        <f t="shared" si="0"/>
        <v>30</v>
      </c>
      <c r="S35" s="1" t="str">
        <f t="shared" si="1"/>
        <v/>
      </c>
      <c r="T35" s="4"/>
      <c r="U35" s="4"/>
      <c r="V35" s="4"/>
      <c r="W35" s="4"/>
      <c r="X35" s="4"/>
      <c r="Y35" s="4"/>
      <c r="Z35" s="4"/>
      <c r="AA35" s="2" t="str">
        <f t="shared" si="2"/>
        <v/>
      </c>
      <c r="AB35" s="2" t="str">
        <f t="shared" si="3"/>
        <v/>
      </c>
      <c r="AC35" s="4">
        <f t="shared" si="4"/>
        <v>30</v>
      </c>
      <c r="AD35" s="1" t="str">
        <f t="shared" si="5"/>
        <v/>
      </c>
      <c r="AE35" s="4"/>
      <c r="AF35" s="4"/>
      <c r="AG35" s="4"/>
      <c r="AH35" s="4"/>
      <c r="AI35" s="4"/>
      <c r="AJ35" s="4"/>
      <c r="AK35" s="4"/>
      <c r="AL35" s="2" t="str">
        <f t="shared" si="6"/>
        <v/>
      </c>
      <c r="AM35" s="2" t="str">
        <f t="shared" si="7"/>
        <v/>
      </c>
      <c r="AN35" s="4">
        <f t="shared" si="8"/>
        <v>30</v>
      </c>
      <c r="AO35" s="1" t="str">
        <f t="shared" si="9"/>
        <v/>
      </c>
      <c r="AP35" s="4"/>
      <c r="AQ35" s="4"/>
      <c r="AR35" s="4"/>
      <c r="AS35" s="4"/>
      <c r="AT35" s="4"/>
      <c r="AU35" s="4"/>
      <c r="AV35" s="4"/>
      <c r="AW35" s="2" t="str">
        <f t="shared" si="10"/>
        <v/>
      </c>
      <c r="AX35" s="23" t="str">
        <f t="shared" si="11"/>
        <v/>
      </c>
      <c r="AY35" s="4">
        <f t="shared" si="12"/>
        <v>30</v>
      </c>
      <c r="AZ35" s="1" t="str">
        <f t="shared" si="13"/>
        <v/>
      </c>
      <c r="BA35" s="4"/>
      <c r="BB35" s="4"/>
      <c r="BC35" s="4"/>
      <c r="BD35" s="4"/>
      <c r="BE35" s="4"/>
      <c r="BF35" s="4"/>
      <c r="BG35" s="4"/>
      <c r="BH35" s="2" t="str">
        <f t="shared" si="14"/>
        <v/>
      </c>
      <c r="BI35" s="2" t="str">
        <f t="shared" si="15"/>
        <v/>
      </c>
      <c r="BJ35" s="4">
        <f t="shared" si="16"/>
        <v>30</v>
      </c>
      <c r="BK35" s="1" t="str">
        <f t="shared" si="17"/>
        <v/>
      </c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2" t="str">
        <f t="shared" si="18"/>
        <v/>
      </c>
      <c r="CB35" s="2" t="str">
        <f t="shared" si="19"/>
        <v/>
      </c>
      <c r="CC35" s="4">
        <f t="shared" si="20"/>
        <v>30</v>
      </c>
      <c r="CD35" s="1" t="str">
        <f t="shared" si="21"/>
        <v/>
      </c>
      <c r="CE35" s="4"/>
      <c r="CF35" s="4"/>
      <c r="CG35" s="4"/>
      <c r="CH35" s="2" t="str">
        <f t="shared" si="22"/>
        <v/>
      </c>
      <c r="CI35" s="2" t="str">
        <f t="shared" si="23"/>
        <v/>
      </c>
    </row>
    <row r="36" spans="2:87" ht="21.75" customHeight="1">
      <c r="B36" s="38">
        <v>31</v>
      </c>
      <c r="C36" s="41"/>
      <c r="D36" s="45"/>
      <c r="E36" s="45"/>
      <c r="F36" s="45"/>
      <c r="G36" s="45"/>
      <c r="H36" s="45"/>
      <c r="I36" s="45"/>
      <c r="J36" s="45"/>
      <c r="K36" s="39"/>
      <c r="L36" s="39"/>
      <c r="M36" s="39"/>
      <c r="N36" s="45"/>
      <c r="O36" s="45"/>
      <c r="R36" s="4">
        <f t="shared" si="0"/>
        <v>31</v>
      </c>
      <c r="S36" s="1" t="str">
        <f t="shared" si="1"/>
        <v/>
      </c>
      <c r="T36" s="4"/>
      <c r="U36" s="4"/>
      <c r="V36" s="4"/>
      <c r="W36" s="4"/>
      <c r="X36" s="4"/>
      <c r="Y36" s="4"/>
      <c r="Z36" s="4"/>
      <c r="AA36" s="2" t="str">
        <f t="shared" si="2"/>
        <v/>
      </c>
      <c r="AB36" s="2" t="str">
        <f t="shared" si="3"/>
        <v/>
      </c>
      <c r="AC36" s="4">
        <f t="shared" si="4"/>
        <v>31</v>
      </c>
      <c r="AD36" s="1" t="str">
        <f t="shared" si="5"/>
        <v/>
      </c>
      <c r="AE36" s="4"/>
      <c r="AF36" s="4"/>
      <c r="AG36" s="4"/>
      <c r="AH36" s="4"/>
      <c r="AI36" s="4"/>
      <c r="AJ36" s="4"/>
      <c r="AK36" s="4"/>
      <c r="AL36" s="2" t="str">
        <f t="shared" si="6"/>
        <v/>
      </c>
      <c r="AM36" s="2" t="str">
        <f t="shared" si="7"/>
        <v/>
      </c>
      <c r="AN36" s="4">
        <f t="shared" si="8"/>
        <v>31</v>
      </c>
      <c r="AO36" s="1" t="str">
        <f t="shared" si="9"/>
        <v/>
      </c>
      <c r="AP36" s="4"/>
      <c r="AQ36" s="4"/>
      <c r="AR36" s="4"/>
      <c r="AS36" s="4"/>
      <c r="AT36" s="4"/>
      <c r="AU36" s="4"/>
      <c r="AV36" s="4"/>
      <c r="AW36" s="2" t="str">
        <f t="shared" si="10"/>
        <v/>
      </c>
      <c r="AX36" s="23" t="str">
        <f t="shared" si="11"/>
        <v/>
      </c>
      <c r="AY36" s="4">
        <f t="shared" si="12"/>
        <v>31</v>
      </c>
      <c r="AZ36" s="1" t="str">
        <f t="shared" si="13"/>
        <v/>
      </c>
      <c r="BA36" s="4"/>
      <c r="BB36" s="4"/>
      <c r="BC36" s="4"/>
      <c r="BD36" s="4"/>
      <c r="BE36" s="4"/>
      <c r="BF36" s="4"/>
      <c r="BG36" s="4"/>
      <c r="BH36" s="2" t="str">
        <f t="shared" si="14"/>
        <v/>
      </c>
      <c r="BI36" s="2" t="str">
        <f t="shared" si="15"/>
        <v/>
      </c>
      <c r="BJ36" s="4">
        <f t="shared" si="16"/>
        <v>31</v>
      </c>
      <c r="BK36" s="1" t="str">
        <f t="shared" si="17"/>
        <v/>
      </c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2" t="str">
        <f t="shared" si="18"/>
        <v/>
      </c>
      <c r="CB36" s="2" t="str">
        <f t="shared" si="19"/>
        <v/>
      </c>
      <c r="CC36" s="4">
        <f t="shared" si="20"/>
        <v>31</v>
      </c>
      <c r="CD36" s="1" t="str">
        <f t="shared" si="21"/>
        <v/>
      </c>
      <c r="CE36" s="4"/>
      <c r="CF36" s="4"/>
      <c r="CG36" s="4"/>
      <c r="CH36" s="2" t="str">
        <f t="shared" si="22"/>
        <v/>
      </c>
      <c r="CI36" s="2" t="str">
        <f t="shared" si="23"/>
        <v/>
      </c>
    </row>
    <row r="37" spans="2:87" ht="21.75" customHeight="1">
      <c r="B37" s="38">
        <v>32</v>
      </c>
      <c r="C37" s="41"/>
      <c r="D37" s="45"/>
      <c r="E37" s="45"/>
      <c r="F37" s="45"/>
      <c r="G37" s="45"/>
      <c r="H37" s="45"/>
      <c r="I37" s="45"/>
      <c r="J37" s="45"/>
      <c r="K37" s="39"/>
      <c r="L37" s="39"/>
      <c r="M37" s="39"/>
      <c r="N37" s="45"/>
      <c r="O37" s="45"/>
      <c r="R37" s="4">
        <f t="shared" si="0"/>
        <v>32</v>
      </c>
      <c r="S37" s="1" t="str">
        <f t="shared" si="1"/>
        <v/>
      </c>
      <c r="T37" s="4"/>
      <c r="U37" s="4"/>
      <c r="V37" s="4"/>
      <c r="W37" s="4"/>
      <c r="X37" s="4"/>
      <c r="Y37" s="4"/>
      <c r="Z37" s="4"/>
      <c r="AA37" s="2" t="str">
        <f t="shared" si="2"/>
        <v/>
      </c>
      <c r="AB37" s="2" t="str">
        <f t="shared" si="3"/>
        <v/>
      </c>
      <c r="AC37" s="4">
        <f t="shared" si="4"/>
        <v>32</v>
      </c>
      <c r="AD37" s="1" t="str">
        <f t="shared" si="5"/>
        <v/>
      </c>
      <c r="AE37" s="4"/>
      <c r="AF37" s="4"/>
      <c r="AG37" s="4"/>
      <c r="AH37" s="4"/>
      <c r="AI37" s="4"/>
      <c r="AJ37" s="4"/>
      <c r="AK37" s="4"/>
      <c r="AL37" s="2" t="str">
        <f t="shared" si="6"/>
        <v/>
      </c>
      <c r="AM37" s="2" t="str">
        <f t="shared" si="7"/>
        <v/>
      </c>
      <c r="AN37" s="4">
        <f t="shared" si="8"/>
        <v>32</v>
      </c>
      <c r="AO37" s="1" t="str">
        <f t="shared" si="9"/>
        <v/>
      </c>
      <c r="AP37" s="4"/>
      <c r="AQ37" s="4"/>
      <c r="AR37" s="4"/>
      <c r="AS37" s="4"/>
      <c r="AT37" s="4"/>
      <c r="AU37" s="4"/>
      <c r="AV37" s="4"/>
      <c r="AW37" s="2" t="str">
        <f t="shared" si="10"/>
        <v/>
      </c>
      <c r="AX37" s="23" t="str">
        <f t="shared" si="11"/>
        <v/>
      </c>
      <c r="AY37" s="4">
        <f t="shared" si="12"/>
        <v>32</v>
      </c>
      <c r="AZ37" s="1" t="str">
        <f t="shared" si="13"/>
        <v/>
      </c>
      <c r="BA37" s="4"/>
      <c r="BB37" s="4"/>
      <c r="BC37" s="4"/>
      <c r="BD37" s="4"/>
      <c r="BE37" s="4"/>
      <c r="BF37" s="4"/>
      <c r="BG37" s="4"/>
      <c r="BH37" s="2" t="str">
        <f t="shared" si="14"/>
        <v/>
      </c>
      <c r="BI37" s="2" t="str">
        <f t="shared" si="15"/>
        <v/>
      </c>
      <c r="BJ37" s="4">
        <f t="shared" si="16"/>
        <v>32</v>
      </c>
      <c r="BK37" s="1" t="str">
        <f t="shared" si="17"/>
        <v/>
      </c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2" t="str">
        <f t="shared" si="18"/>
        <v/>
      </c>
      <c r="CB37" s="2" t="str">
        <f t="shared" si="19"/>
        <v/>
      </c>
      <c r="CC37" s="4">
        <f t="shared" si="20"/>
        <v>32</v>
      </c>
      <c r="CD37" s="1" t="str">
        <f t="shared" si="21"/>
        <v/>
      </c>
      <c r="CE37" s="4"/>
      <c r="CF37" s="4"/>
      <c r="CG37" s="4"/>
      <c r="CH37" s="2" t="str">
        <f t="shared" si="22"/>
        <v/>
      </c>
      <c r="CI37" s="2" t="str">
        <f t="shared" si="23"/>
        <v/>
      </c>
    </row>
    <row r="38" spans="2:87" ht="21.75" customHeight="1">
      <c r="B38" s="38">
        <v>33</v>
      </c>
      <c r="C38" s="41"/>
      <c r="D38" s="45"/>
      <c r="E38" s="45"/>
      <c r="F38" s="45"/>
      <c r="G38" s="45"/>
      <c r="H38" s="45"/>
      <c r="I38" s="45"/>
      <c r="J38" s="45"/>
      <c r="K38" s="39"/>
      <c r="L38" s="39"/>
      <c r="M38" s="39"/>
      <c r="N38" s="45"/>
      <c r="O38" s="45"/>
      <c r="R38" s="4">
        <f t="shared" si="0"/>
        <v>33</v>
      </c>
      <c r="S38" s="1" t="str">
        <f t="shared" si="1"/>
        <v/>
      </c>
      <c r="T38" s="4"/>
      <c r="U38" s="4"/>
      <c r="V38" s="4"/>
      <c r="W38" s="4"/>
      <c r="X38" s="4"/>
      <c r="Y38" s="4"/>
      <c r="Z38" s="4"/>
      <c r="AA38" s="2" t="str">
        <f t="shared" si="2"/>
        <v/>
      </c>
      <c r="AB38" s="2" t="str">
        <f t="shared" si="3"/>
        <v/>
      </c>
      <c r="AC38" s="4">
        <f t="shared" si="4"/>
        <v>33</v>
      </c>
      <c r="AD38" s="1" t="str">
        <f t="shared" si="5"/>
        <v/>
      </c>
      <c r="AE38" s="4"/>
      <c r="AF38" s="4"/>
      <c r="AG38" s="4"/>
      <c r="AH38" s="4"/>
      <c r="AI38" s="4"/>
      <c r="AJ38" s="4"/>
      <c r="AK38" s="4"/>
      <c r="AL38" s="2" t="str">
        <f t="shared" si="6"/>
        <v/>
      </c>
      <c r="AM38" s="2" t="str">
        <f t="shared" si="7"/>
        <v/>
      </c>
      <c r="AN38" s="4">
        <f t="shared" si="8"/>
        <v>33</v>
      </c>
      <c r="AO38" s="1" t="str">
        <f t="shared" si="9"/>
        <v/>
      </c>
      <c r="AP38" s="4"/>
      <c r="AQ38" s="4"/>
      <c r="AR38" s="4"/>
      <c r="AS38" s="4"/>
      <c r="AT38" s="4"/>
      <c r="AU38" s="4"/>
      <c r="AV38" s="4"/>
      <c r="AW38" s="2" t="str">
        <f t="shared" si="10"/>
        <v/>
      </c>
      <c r="AX38" s="23" t="str">
        <f t="shared" si="11"/>
        <v/>
      </c>
      <c r="AY38" s="4">
        <f t="shared" si="12"/>
        <v>33</v>
      </c>
      <c r="AZ38" s="1" t="str">
        <f t="shared" si="13"/>
        <v/>
      </c>
      <c r="BA38" s="4"/>
      <c r="BB38" s="4"/>
      <c r="BC38" s="4"/>
      <c r="BD38" s="4"/>
      <c r="BE38" s="4"/>
      <c r="BF38" s="4"/>
      <c r="BG38" s="4"/>
      <c r="BH38" s="2" t="str">
        <f t="shared" si="14"/>
        <v/>
      </c>
      <c r="BI38" s="2" t="str">
        <f t="shared" si="15"/>
        <v/>
      </c>
      <c r="BJ38" s="4">
        <f t="shared" si="16"/>
        <v>33</v>
      </c>
      <c r="BK38" s="1" t="str">
        <f t="shared" si="17"/>
        <v/>
      </c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2" t="str">
        <f t="shared" si="18"/>
        <v/>
      </c>
      <c r="CB38" s="2" t="str">
        <f t="shared" si="19"/>
        <v/>
      </c>
      <c r="CC38" s="4">
        <f t="shared" si="20"/>
        <v>33</v>
      </c>
      <c r="CD38" s="1" t="str">
        <f t="shared" si="21"/>
        <v/>
      </c>
      <c r="CE38" s="4"/>
      <c r="CF38" s="4"/>
      <c r="CG38" s="4"/>
      <c r="CH38" s="2" t="str">
        <f t="shared" si="22"/>
        <v/>
      </c>
      <c r="CI38" s="2" t="str">
        <f t="shared" si="23"/>
        <v/>
      </c>
    </row>
    <row r="39" spans="2:87" ht="21.75" customHeight="1">
      <c r="B39" s="38">
        <v>34</v>
      </c>
      <c r="C39" s="41"/>
      <c r="D39" s="45"/>
      <c r="E39" s="45"/>
      <c r="F39" s="45"/>
      <c r="G39" s="45"/>
      <c r="H39" s="45"/>
      <c r="I39" s="45"/>
      <c r="J39" s="45"/>
      <c r="K39" s="39"/>
      <c r="L39" s="39"/>
      <c r="M39" s="39"/>
      <c r="N39" s="45"/>
      <c r="O39" s="45"/>
      <c r="R39" s="4">
        <f t="shared" si="0"/>
        <v>34</v>
      </c>
      <c r="S39" s="1" t="str">
        <f t="shared" si="1"/>
        <v/>
      </c>
      <c r="T39" s="4"/>
      <c r="U39" s="4"/>
      <c r="V39" s="4"/>
      <c r="W39" s="4"/>
      <c r="X39" s="4"/>
      <c r="Y39" s="4"/>
      <c r="Z39" s="4"/>
      <c r="AA39" s="2" t="str">
        <f t="shared" si="2"/>
        <v/>
      </c>
      <c r="AB39" s="2" t="str">
        <f t="shared" si="3"/>
        <v/>
      </c>
      <c r="AC39" s="4">
        <f t="shared" si="4"/>
        <v>34</v>
      </c>
      <c r="AD39" s="1" t="str">
        <f t="shared" si="5"/>
        <v/>
      </c>
      <c r="AE39" s="4"/>
      <c r="AF39" s="4"/>
      <c r="AG39" s="4"/>
      <c r="AH39" s="4"/>
      <c r="AI39" s="4"/>
      <c r="AJ39" s="4"/>
      <c r="AK39" s="4"/>
      <c r="AL39" s="2" t="str">
        <f t="shared" si="6"/>
        <v/>
      </c>
      <c r="AM39" s="2" t="str">
        <f t="shared" si="7"/>
        <v/>
      </c>
      <c r="AN39" s="4">
        <f t="shared" si="8"/>
        <v>34</v>
      </c>
      <c r="AO39" s="1" t="str">
        <f t="shared" si="9"/>
        <v/>
      </c>
      <c r="AP39" s="4"/>
      <c r="AQ39" s="4"/>
      <c r="AR39" s="4"/>
      <c r="AS39" s="4"/>
      <c r="AT39" s="4"/>
      <c r="AU39" s="4"/>
      <c r="AV39" s="4"/>
      <c r="AW39" s="2" t="str">
        <f t="shared" si="10"/>
        <v/>
      </c>
      <c r="AX39" s="23" t="str">
        <f t="shared" si="11"/>
        <v/>
      </c>
      <c r="AY39" s="4">
        <f t="shared" si="12"/>
        <v>34</v>
      </c>
      <c r="AZ39" s="1" t="str">
        <f t="shared" si="13"/>
        <v/>
      </c>
      <c r="BA39" s="4"/>
      <c r="BB39" s="4"/>
      <c r="BC39" s="4"/>
      <c r="BD39" s="4"/>
      <c r="BE39" s="4"/>
      <c r="BF39" s="4"/>
      <c r="BG39" s="4"/>
      <c r="BH39" s="2" t="str">
        <f t="shared" si="14"/>
        <v/>
      </c>
      <c r="BI39" s="2" t="str">
        <f t="shared" si="15"/>
        <v/>
      </c>
      <c r="BJ39" s="4">
        <f t="shared" si="16"/>
        <v>34</v>
      </c>
      <c r="BK39" s="1" t="str">
        <f t="shared" si="17"/>
        <v/>
      </c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2" t="str">
        <f t="shared" si="18"/>
        <v/>
      </c>
      <c r="CB39" s="2" t="str">
        <f t="shared" si="19"/>
        <v/>
      </c>
      <c r="CC39" s="4">
        <f t="shared" si="20"/>
        <v>34</v>
      </c>
      <c r="CD39" s="1" t="str">
        <f t="shared" si="21"/>
        <v/>
      </c>
      <c r="CE39" s="4"/>
      <c r="CF39" s="4"/>
      <c r="CG39" s="4"/>
      <c r="CH39" s="2" t="str">
        <f t="shared" si="22"/>
        <v/>
      </c>
      <c r="CI39" s="2" t="str">
        <f t="shared" si="23"/>
        <v/>
      </c>
    </row>
    <row r="40" spans="2:87" ht="21.75" customHeight="1">
      <c r="B40" s="38">
        <v>35</v>
      </c>
      <c r="C40" s="41"/>
      <c r="D40" s="45"/>
      <c r="E40" s="45"/>
      <c r="F40" s="45"/>
      <c r="G40" s="45"/>
      <c r="H40" s="45"/>
      <c r="I40" s="45"/>
      <c r="J40" s="45"/>
      <c r="K40" s="39"/>
      <c r="L40" s="39"/>
      <c r="M40" s="39"/>
      <c r="N40" s="45"/>
      <c r="O40" s="45"/>
      <c r="R40" s="4">
        <f t="shared" si="0"/>
        <v>35</v>
      </c>
      <c r="S40" s="1" t="str">
        <f t="shared" si="1"/>
        <v/>
      </c>
      <c r="T40" s="4"/>
      <c r="U40" s="4"/>
      <c r="V40" s="4"/>
      <c r="W40" s="4"/>
      <c r="X40" s="4"/>
      <c r="Y40" s="4"/>
      <c r="Z40" s="4"/>
      <c r="AA40" s="2" t="str">
        <f t="shared" si="2"/>
        <v/>
      </c>
      <c r="AB40" s="2" t="str">
        <f t="shared" si="3"/>
        <v/>
      </c>
      <c r="AC40" s="4">
        <f t="shared" si="4"/>
        <v>35</v>
      </c>
      <c r="AD40" s="1" t="str">
        <f t="shared" si="5"/>
        <v/>
      </c>
      <c r="AE40" s="4"/>
      <c r="AF40" s="4"/>
      <c r="AG40" s="4"/>
      <c r="AH40" s="4"/>
      <c r="AI40" s="4"/>
      <c r="AJ40" s="4"/>
      <c r="AK40" s="4"/>
      <c r="AL40" s="2" t="str">
        <f t="shared" si="6"/>
        <v/>
      </c>
      <c r="AM40" s="2" t="str">
        <f t="shared" si="7"/>
        <v/>
      </c>
      <c r="AN40" s="4">
        <f t="shared" si="8"/>
        <v>35</v>
      </c>
      <c r="AO40" s="1" t="str">
        <f t="shared" si="9"/>
        <v/>
      </c>
      <c r="AP40" s="4"/>
      <c r="AQ40" s="4"/>
      <c r="AR40" s="4"/>
      <c r="AS40" s="4"/>
      <c r="AT40" s="4"/>
      <c r="AU40" s="4"/>
      <c r="AV40" s="4"/>
      <c r="AW40" s="2" t="str">
        <f t="shared" si="10"/>
        <v/>
      </c>
      <c r="AX40" s="23" t="str">
        <f t="shared" si="11"/>
        <v/>
      </c>
      <c r="AY40" s="4">
        <f t="shared" si="12"/>
        <v>35</v>
      </c>
      <c r="AZ40" s="1" t="str">
        <f t="shared" si="13"/>
        <v/>
      </c>
      <c r="BA40" s="4"/>
      <c r="BB40" s="4"/>
      <c r="BC40" s="4"/>
      <c r="BD40" s="4"/>
      <c r="BE40" s="4"/>
      <c r="BF40" s="4"/>
      <c r="BG40" s="4"/>
      <c r="BH40" s="2" t="str">
        <f t="shared" si="14"/>
        <v/>
      </c>
      <c r="BI40" s="2" t="str">
        <f t="shared" si="15"/>
        <v/>
      </c>
      <c r="BJ40" s="4">
        <f t="shared" si="16"/>
        <v>35</v>
      </c>
      <c r="BK40" s="1" t="str">
        <f t="shared" si="17"/>
        <v/>
      </c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2" t="str">
        <f t="shared" si="18"/>
        <v/>
      </c>
      <c r="CB40" s="2" t="str">
        <f t="shared" si="19"/>
        <v/>
      </c>
      <c r="CC40" s="4">
        <f t="shared" si="20"/>
        <v>35</v>
      </c>
      <c r="CD40" s="1" t="str">
        <f t="shared" si="21"/>
        <v/>
      </c>
      <c r="CE40" s="4"/>
      <c r="CF40" s="4"/>
      <c r="CG40" s="4"/>
      <c r="CH40" s="2" t="str">
        <f t="shared" si="22"/>
        <v/>
      </c>
      <c r="CI40" s="2" t="str">
        <f t="shared" si="23"/>
        <v/>
      </c>
    </row>
    <row r="41" spans="2:87" ht="21.75" customHeight="1">
      <c r="B41" s="38">
        <v>36</v>
      </c>
      <c r="C41" s="41"/>
      <c r="D41" s="45"/>
      <c r="E41" s="45"/>
      <c r="F41" s="45"/>
      <c r="G41" s="45"/>
      <c r="H41" s="45"/>
      <c r="I41" s="45"/>
      <c r="J41" s="45"/>
      <c r="K41" s="39"/>
      <c r="L41" s="39"/>
      <c r="M41" s="39"/>
      <c r="N41" s="45"/>
      <c r="O41" s="45"/>
      <c r="R41" s="4">
        <f t="shared" si="0"/>
        <v>36</v>
      </c>
      <c r="S41" s="1" t="str">
        <f t="shared" si="1"/>
        <v/>
      </c>
      <c r="T41" s="4"/>
      <c r="U41" s="4"/>
      <c r="V41" s="4"/>
      <c r="W41" s="4"/>
      <c r="X41" s="4"/>
      <c r="Y41" s="4"/>
      <c r="Z41" s="4"/>
      <c r="AA41" s="2" t="str">
        <f t="shared" si="2"/>
        <v/>
      </c>
      <c r="AB41" s="2" t="str">
        <f t="shared" si="3"/>
        <v/>
      </c>
      <c r="AC41" s="4">
        <f t="shared" si="4"/>
        <v>36</v>
      </c>
      <c r="AD41" s="1" t="str">
        <f t="shared" si="5"/>
        <v/>
      </c>
      <c r="AE41" s="4"/>
      <c r="AF41" s="4"/>
      <c r="AG41" s="4"/>
      <c r="AH41" s="4"/>
      <c r="AI41" s="4"/>
      <c r="AJ41" s="4"/>
      <c r="AK41" s="4"/>
      <c r="AL41" s="2" t="str">
        <f t="shared" si="6"/>
        <v/>
      </c>
      <c r="AM41" s="2" t="str">
        <f t="shared" si="7"/>
        <v/>
      </c>
      <c r="AN41" s="4">
        <f t="shared" si="8"/>
        <v>36</v>
      </c>
      <c r="AO41" s="1" t="str">
        <f t="shared" si="9"/>
        <v/>
      </c>
      <c r="AP41" s="4"/>
      <c r="AQ41" s="4"/>
      <c r="AR41" s="4"/>
      <c r="AS41" s="4"/>
      <c r="AT41" s="4"/>
      <c r="AU41" s="4"/>
      <c r="AV41" s="4"/>
      <c r="AW41" s="2" t="str">
        <f t="shared" si="10"/>
        <v/>
      </c>
      <c r="AX41" s="23" t="str">
        <f t="shared" si="11"/>
        <v/>
      </c>
      <c r="AY41" s="4">
        <f t="shared" si="12"/>
        <v>36</v>
      </c>
      <c r="AZ41" s="1" t="str">
        <f t="shared" si="13"/>
        <v/>
      </c>
      <c r="BA41" s="4"/>
      <c r="BB41" s="4"/>
      <c r="BC41" s="4"/>
      <c r="BD41" s="4"/>
      <c r="BE41" s="4"/>
      <c r="BF41" s="4"/>
      <c r="BG41" s="4"/>
      <c r="BH41" s="2" t="str">
        <f t="shared" si="14"/>
        <v/>
      </c>
      <c r="BI41" s="2" t="str">
        <f t="shared" si="15"/>
        <v/>
      </c>
      <c r="BJ41" s="4">
        <f t="shared" si="16"/>
        <v>36</v>
      </c>
      <c r="BK41" s="1" t="str">
        <f t="shared" si="17"/>
        <v/>
      </c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2" t="str">
        <f t="shared" si="18"/>
        <v/>
      </c>
      <c r="CB41" s="2" t="str">
        <f t="shared" si="19"/>
        <v/>
      </c>
      <c r="CC41" s="4">
        <f t="shared" si="20"/>
        <v>36</v>
      </c>
      <c r="CD41" s="1" t="str">
        <f t="shared" si="21"/>
        <v/>
      </c>
      <c r="CE41" s="4"/>
      <c r="CF41" s="4"/>
      <c r="CG41" s="4"/>
      <c r="CH41" s="2" t="str">
        <f t="shared" si="22"/>
        <v/>
      </c>
      <c r="CI41" s="2" t="str">
        <f t="shared" si="23"/>
        <v/>
      </c>
    </row>
    <row r="42" spans="2:87" ht="21.75" customHeight="1">
      <c r="B42" s="38">
        <v>37</v>
      </c>
      <c r="C42" s="41"/>
      <c r="D42" s="45"/>
      <c r="E42" s="45"/>
      <c r="F42" s="45"/>
      <c r="G42" s="45"/>
      <c r="H42" s="45"/>
      <c r="I42" s="45"/>
      <c r="J42" s="45"/>
      <c r="K42" s="39"/>
      <c r="L42" s="39"/>
      <c r="M42" s="39"/>
      <c r="N42" s="45"/>
      <c r="O42" s="45"/>
      <c r="R42" s="4">
        <f t="shared" si="0"/>
        <v>37</v>
      </c>
      <c r="S42" s="1" t="str">
        <f t="shared" si="1"/>
        <v/>
      </c>
      <c r="T42" s="4"/>
      <c r="U42" s="4"/>
      <c r="V42" s="4"/>
      <c r="W42" s="4"/>
      <c r="X42" s="4"/>
      <c r="Y42" s="4"/>
      <c r="Z42" s="4"/>
      <c r="AA42" s="2" t="str">
        <f t="shared" si="2"/>
        <v/>
      </c>
      <c r="AB42" s="2" t="str">
        <f t="shared" si="3"/>
        <v/>
      </c>
      <c r="AC42" s="4">
        <f t="shared" si="4"/>
        <v>37</v>
      </c>
      <c r="AD42" s="1" t="str">
        <f t="shared" si="5"/>
        <v/>
      </c>
      <c r="AE42" s="4"/>
      <c r="AF42" s="4"/>
      <c r="AG42" s="4"/>
      <c r="AH42" s="4"/>
      <c r="AI42" s="4"/>
      <c r="AJ42" s="4"/>
      <c r="AK42" s="4"/>
      <c r="AL42" s="2" t="str">
        <f t="shared" si="6"/>
        <v/>
      </c>
      <c r="AM42" s="2" t="str">
        <f t="shared" si="7"/>
        <v/>
      </c>
      <c r="AN42" s="4">
        <f t="shared" si="8"/>
        <v>37</v>
      </c>
      <c r="AO42" s="1" t="str">
        <f t="shared" si="9"/>
        <v/>
      </c>
      <c r="AP42" s="4"/>
      <c r="AQ42" s="4"/>
      <c r="AR42" s="4"/>
      <c r="AS42" s="4"/>
      <c r="AT42" s="4"/>
      <c r="AU42" s="4"/>
      <c r="AV42" s="4"/>
      <c r="AW42" s="2" t="str">
        <f t="shared" si="10"/>
        <v/>
      </c>
      <c r="AX42" s="23" t="str">
        <f t="shared" si="11"/>
        <v/>
      </c>
      <c r="AY42" s="4">
        <f t="shared" si="12"/>
        <v>37</v>
      </c>
      <c r="AZ42" s="1" t="str">
        <f t="shared" si="13"/>
        <v/>
      </c>
      <c r="BA42" s="4"/>
      <c r="BB42" s="4"/>
      <c r="BC42" s="4"/>
      <c r="BD42" s="4"/>
      <c r="BE42" s="4"/>
      <c r="BF42" s="4"/>
      <c r="BG42" s="4"/>
      <c r="BH42" s="2" t="str">
        <f t="shared" si="14"/>
        <v/>
      </c>
      <c r="BI42" s="2" t="str">
        <f t="shared" si="15"/>
        <v/>
      </c>
      <c r="BJ42" s="4">
        <f t="shared" si="16"/>
        <v>37</v>
      </c>
      <c r="BK42" s="1" t="str">
        <f t="shared" si="17"/>
        <v/>
      </c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2" t="str">
        <f t="shared" si="18"/>
        <v/>
      </c>
      <c r="CB42" s="2" t="str">
        <f t="shared" si="19"/>
        <v/>
      </c>
      <c r="CC42" s="4">
        <f t="shared" si="20"/>
        <v>37</v>
      </c>
      <c r="CD42" s="1" t="str">
        <f t="shared" si="21"/>
        <v/>
      </c>
      <c r="CE42" s="4"/>
      <c r="CF42" s="4"/>
      <c r="CG42" s="4"/>
      <c r="CH42" s="2" t="str">
        <f t="shared" si="22"/>
        <v/>
      </c>
      <c r="CI42" s="2" t="str">
        <f t="shared" si="23"/>
        <v/>
      </c>
    </row>
    <row r="43" spans="2:87" ht="21.75" customHeight="1">
      <c r="B43" s="38">
        <v>38</v>
      </c>
      <c r="C43" s="41"/>
      <c r="D43" s="45"/>
      <c r="E43" s="45"/>
      <c r="F43" s="45"/>
      <c r="G43" s="45"/>
      <c r="H43" s="45"/>
      <c r="I43" s="45"/>
      <c r="J43" s="45"/>
      <c r="K43" s="39"/>
      <c r="L43" s="39"/>
      <c r="M43" s="39"/>
      <c r="N43" s="45"/>
      <c r="O43" s="45"/>
      <c r="R43" s="4">
        <f t="shared" si="0"/>
        <v>38</v>
      </c>
      <c r="S43" s="1" t="str">
        <f t="shared" si="1"/>
        <v/>
      </c>
      <c r="T43" s="4"/>
      <c r="U43" s="4"/>
      <c r="V43" s="4"/>
      <c r="W43" s="4"/>
      <c r="X43" s="4"/>
      <c r="Y43" s="4"/>
      <c r="Z43" s="4"/>
      <c r="AA43" s="2" t="str">
        <f t="shared" si="2"/>
        <v/>
      </c>
      <c r="AB43" s="2" t="str">
        <f t="shared" si="3"/>
        <v/>
      </c>
      <c r="AC43" s="4">
        <f t="shared" si="4"/>
        <v>38</v>
      </c>
      <c r="AD43" s="1" t="str">
        <f t="shared" si="5"/>
        <v/>
      </c>
      <c r="AE43" s="4"/>
      <c r="AF43" s="4"/>
      <c r="AG43" s="4"/>
      <c r="AH43" s="4"/>
      <c r="AI43" s="4"/>
      <c r="AJ43" s="4"/>
      <c r="AK43" s="4"/>
      <c r="AL43" s="2" t="str">
        <f t="shared" si="6"/>
        <v/>
      </c>
      <c r="AM43" s="2" t="str">
        <f t="shared" si="7"/>
        <v/>
      </c>
      <c r="AN43" s="4">
        <f t="shared" si="8"/>
        <v>38</v>
      </c>
      <c r="AO43" s="1" t="str">
        <f t="shared" si="9"/>
        <v/>
      </c>
      <c r="AP43" s="4"/>
      <c r="AQ43" s="4"/>
      <c r="AR43" s="4"/>
      <c r="AS43" s="4"/>
      <c r="AT43" s="4"/>
      <c r="AU43" s="4"/>
      <c r="AV43" s="4"/>
      <c r="AW43" s="2" t="str">
        <f t="shared" si="10"/>
        <v/>
      </c>
      <c r="AX43" s="23" t="str">
        <f t="shared" si="11"/>
        <v/>
      </c>
      <c r="AY43" s="4">
        <f t="shared" si="12"/>
        <v>38</v>
      </c>
      <c r="AZ43" s="1" t="str">
        <f t="shared" si="13"/>
        <v/>
      </c>
      <c r="BA43" s="4"/>
      <c r="BB43" s="4"/>
      <c r="BC43" s="4"/>
      <c r="BD43" s="4"/>
      <c r="BE43" s="4"/>
      <c r="BF43" s="4"/>
      <c r="BG43" s="4"/>
      <c r="BH43" s="2" t="str">
        <f t="shared" si="14"/>
        <v/>
      </c>
      <c r="BI43" s="2" t="str">
        <f t="shared" si="15"/>
        <v/>
      </c>
      <c r="BJ43" s="4">
        <f t="shared" si="16"/>
        <v>38</v>
      </c>
      <c r="BK43" s="1" t="str">
        <f t="shared" si="17"/>
        <v/>
      </c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2" t="str">
        <f t="shared" si="18"/>
        <v/>
      </c>
      <c r="CB43" s="2" t="str">
        <f t="shared" si="19"/>
        <v/>
      </c>
      <c r="CC43" s="4">
        <f t="shared" si="20"/>
        <v>38</v>
      </c>
      <c r="CD43" s="1" t="str">
        <f t="shared" si="21"/>
        <v/>
      </c>
      <c r="CE43" s="4"/>
      <c r="CF43" s="4"/>
      <c r="CG43" s="4"/>
      <c r="CH43" s="2" t="str">
        <f t="shared" si="22"/>
        <v/>
      </c>
      <c r="CI43" s="2" t="str">
        <f t="shared" si="23"/>
        <v/>
      </c>
    </row>
    <row r="44" spans="2:87" ht="21.75" customHeight="1">
      <c r="B44" s="38">
        <v>39</v>
      </c>
      <c r="C44" s="41"/>
      <c r="D44" s="45"/>
      <c r="E44" s="45"/>
      <c r="F44" s="45"/>
      <c r="G44" s="45"/>
      <c r="H44" s="45"/>
      <c r="I44" s="45"/>
      <c r="J44" s="45"/>
      <c r="K44" s="39"/>
      <c r="L44" s="39"/>
      <c r="M44" s="39"/>
      <c r="N44" s="45"/>
      <c r="O44" s="45"/>
      <c r="R44" s="4">
        <f t="shared" si="0"/>
        <v>39</v>
      </c>
      <c r="S44" s="1" t="str">
        <f t="shared" si="1"/>
        <v/>
      </c>
      <c r="T44" s="4"/>
      <c r="U44" s="4"/>
      <c r="V44" s="4"/>
      <c r="W44" s="4"/>
      <c r="X44" s="4"/>
      <c r="Y44" s="4"/>
      <c r="Z44" s="4"/>
      <c r="AA44" s="2" t="str">
        <f t="shared" si="2"/>
        <v/>
      </c>
      <c r="AB44" s="2" t="str">
        <f t="shared" si="3"/>
        <v/>
      </c>
      <c r="AC44" s="4">
        <f t="shared" si="4"/>
        <v>39</v>
      </c>
      <c r="AD44" s="1" t="str">
        <f t="shared" si="5"/>
        <v/>
      </c>
      <c r="AE44" s="4"/>
      <c r="AF44" s="4"/>
      <c r="AG44" s="4"/>
      <c r="AH44" s="4"/>
      <c r="AI44" s="4"/>
      <c r="AJ44" s="4"/>
      <c r="AK44" s="4"/>
      <c r="AL44" s="2" t="str">
        <f t="shared" si="6"/>
        <v/>
      </c>
      <c r="AM44" s="2" t="str">
        <f t="shared" si="7"/>
        <v/>
      </c>
      <c r="AN44" s="4">
        <f t="shared" si="8"/>
        <v>39</v>
      </c>
      <c r="AO44" s="1" t="str">
        <f t="shared" si="9"/>
        <v/>
      </c>
      <c r="AP44" s="4"/>
      <c r="AQ44" s="4"/>
      <c r="AR44" s="4"/>
      <c r="AS44" s="4"/>
      <c r="AT44" s="4"/>
      <c r="AU44" s="4"/>
      <c r="AV44" s="4"/>
      <c r="AW44" s="2" t="str">
        <f t="shared" si="10"/>
        <v/>
      </c>
      <c r="AX44" s="23" t="str">
        <f t="shared" si="11"/>
        <v/>
      </c>
      <c r="AY44" s="4">
        <f t="shared" si="12"/>
        <v>39</v>
      </c>
      <c r="AZ44" s="1" t="str">
        <f t="shared" si="13"/>
        <v/>
      </c>
      <c r="BA44" s="4"/>
      <c r="BB44" s="4"/>
      <c r="BC44" s="4"/>
      <c r="BD44" s="4"/>
      <c r="BE44" s="4"/>
      <c r="BF44" s="4"/>
      <c r="BG44" s="4"/>
      <c r="BH44" s="2" t="str">
        <f t="shared" si="14"/>
        <v/>
      </c>
      <c r="BI44" s="2" t="str">
        <f t="shared" si="15"/>
        <v/>
      </c>
      <c r="BJ44" s="4">
        <f t="shared" si="16"/>
        <v>39</v>
      </c>
      <c r="BK44" s="1" t="str">
        <f t="shared" si="17"/>
        <v/>
      </c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2" t="str">
        <f t="shared" si="18"/>
        <v/>
      </c>
      <c r="CB44" s="2"/>
      <c r="CC44" s="4">
        <f t="shared" si="20"/>
        <v>39</v>
      </c>
      <c r="CD44" s="1" t="str">
        <f t="shared" si="21"/>
        <v/>
      </c>
      <c r="CE44" s="4"/>
      <c r="CF44" s="4"/>
      <c r="CG44" s="4"/>
      <c r="CH44" s="2" t="str">
        <f t="shared" si="22"/>
        <v/>
      </c>
      <c r="CI44" s="2"/>
    </row>
    <row r="45" spans="2:87" ht="21.75" customHeight="1">
      <c r="B45" s="38">
        <v>40</v>
      </c>
      <c r="C45" s="41"/>
      <c r="D45" s="45"/>
      <c r="E45" s="45"/>
      <c r="F45" s="45"/>
      <c r="G45" s="45"/>
      <c r="H45" s="45"/>
      <c r="I45" s="45"/>
      <c r="J45" s="45"/>
      <c r="K45" s="39"/>
      <c r="L45" s="39"/>
      <c r="M45" s="39"/>
      <c r="N45" s="45"/>
      <c r="O45" s="45"/>
      <c r="R45" s="4">
        <f t="shared" si="0"/>
        <v>40</v>
      </c>
      <c r="S45" s="1" t="str">
        <f t="shared" si="1"/>
        <v/>
      </c>
      <c r="T45" s="4"/>
      <c r="U45" s="4"/>
      <c r="V45" s="4"/>
      <c r="W45" s="4"/>
      <c r="X45" s="4"/>
      <c r="Y45" s="4"/>
      <c r="Z45" s="4"/>
      <c r="AA45" s="2" t="str">
        <f t="shared" si="2"/>
        <v/>
      </c>
      <c r="AB45" s="2" t="str">
        <f t="shared" si="3"/>
        <v/>
      </c>
      <c r="AC45" s="4">
        <f t="shared" si="4"/>
        <v>40</v>
      </c>
      <c r="AD45" s="1" t="str">
        <f t="shared" si="5"/>
        <v/>
      </c>
      <c r="AE45" s="4"/>
      <c r="AF45" s="4"/>
      <c r="AG45" s="4"/>
      <c r="AH45" s="4"/>
      <c r="AI45" s="4"/>
      <c r="AJ45" s="4"/>
      <c r="AK45" s="4"/>
      <c r="AL45" s="2" t="str">
        <f t="shared" si="6"/>
        <v/>
      </c>
      <c r="AM45" s="2" t="str">
        <f t="shared" si="7"/>
        <v/>
      </c>
      <c r="AN45" s="4">
        <f t="shared" si="8"/>
        <v>40</v>
      </c>
      <c r="AO45" s="1" t="str">
        <f t="shared" si="9"/>
        <v/>
      </c>
      <c r="AP45" s="4"/>
      <c r="AQ45" s="4"/>
      <c r="AR45" s="4"/>
      <c r="AS45" s="4"/>
      <c r="AT45" s="4"/>
      <c r="AU45" s="4"/>
      <c r="AV45" s="4"/>
      <c r="AW45" s="2" t="str">
        <f t="shared" si="10"/>
        <v/>
      </c>
      <c r="AX45" s="23" t="str">
        <f t="shared" si="11"/>
        <v/>
      </c>
      <c r="AY45" s="4">
        <f t="shared" si="12"/>
        <v>40</v>
      </c>
      <c r="AZ45" s="1" t="str">
        <f t="shared" si="13"/>
        <v/>
      </c>
      <c r="BA45" s="4"/>
      <c r="BB45" s="4"/>
      <c r="BC45" s="4"/>
      <c r="BD45" s="4"/>
      <c r="BE45" s="4"/>
      <c r="BF45" s="4"/>
      <c r="BG45" s="4"/>
      <c r="BH45" s="2" t="str">
        <f t="shared" si="14"/>
        <v/>
      </c>
      <c r="BI45" s="2" t="str">
        <f t="shared" si="15"/>
        <v/>
      </c>
      <c r="BJ45" s="4">
        <f t="shared" si="16"/>
        <v>40</v>
      </c>
      <c r="BK45" s="1" t="str">
        <f t="shared" si="17"/>
        <v/>
      </c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2" t="str">
        <f t="shared" si="18"/>
        <v/>
      </c>
      <c r="CB45" s="2"/>
      <c r="CC45" s="4">
        <f t="shared" si="20"/>
        <v>40</v>
      </c>
      <c r="CD45" s="1" t="str">
        <f t="shared" si="21"/>
        <v/>
      </c>
      <c r="CE45" s="4"/>
      <c r="CF45" s="4"/>
      <c r="CG45" s="4"/>
      <c r="CH45" s="2" t="str">
        <f t="shared" si="22"/>
        <v/>
      </c>
      <c r="CI45" s="2"/>
    </row>
    <row r="46" spans="2:87" ht="21.75" hidden="1" customHeight="1">
      <c r="B46" s="38"/>
      <c r="C46" s="41"/>
      <c r="D46" s="45"/>
      <c r="E46" s="45"/>
      <c r="F46" s="45"/>
      <c r="G46" s="45"/>
      <c r="H46" s="45"/>
      <c r="I46" s="45"/>
      <c r="J46" s="45"/>
      <c r="K46" s="39"/>
      <c r="L46" s="39"/>
      <c r="M46" s="39"/>
      <c r="N46" s="45"/>
      <c r="O46" s="45"/>
      <c r="R46" s="4"/>
      <c r="S46" s="26"/>
      <c r="T46" s="4"/>
      <c r="U46" s="4"/>
      <c r="V46" s="4"/>
      <c r="W46" s="4"/>
      <c r="X46" s="4"/>
      <c r="Y46" s="4"/>
      <c r="Z46" s="4"/>
      <c r="AA46" s="2">
        <v>3</v>
      </c>
      <c r="AB46" s="2">
        <v>30</v>
      </c>
      <c r="AC46" s="4"/>
      <c r="AD46" s="26"/>
      <c r="AE46" s="4"/>
      <c r="AF46" s="4"/>
      <c r="AG46" s="4"/>
      <c r="AH46" s="4"/>
      <c r="AI46" s="4"/>
      <c r="AJ46" s="4"/>
      <c r="AK46" s="4"/>
      <c r="AL46" s="2">
        <v>3</v>
      </c>
      <c r="AM46" s="2">
        <v>30</v>
      </c>
      <c r="AN46" s="4"/>
      <c r="AO46" s="26"/>
      <c r="AP46" s="4"/>
      <c r="AQ46" s="4"/>
      <c r="AR46" s="4"/>
      <c r="AS46" s="4"/>
      <c r="AT46" s="4"/>
      <c r="AU46" s="4"/>
      <c r="AV46" s="4"/>
      <c r="AW46" s="2">
        <v>3</v>
      </c>
      <c r="AX46" s="23">
        <v>30</v>
      </c>
      <c r="AY46" s="4"/>
      <c r="AZ46" s="26"/>
      <c r="BA46" s="4"/>
      <c r="BB46" s="4"/>
      <c r="BC46" s="4"/>
      <c r="BD46" s="4"/>
      <c r="BE46" s="4"/>
      <c r="BF46" s="4"/>
      <c r="BG46" s="4"/>
      <c r="BH46" s="2">
        <v>3</v>
      </c>
      <c r="BI46" s="2">
        <v>30</v>
      </c>
      <c r="BJ46" s="4"/>
      <c r="BK46" s="26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2">
        <v>10</v>
      </c>
      <c r="CB46" s="2">
        <v>30</v>
      </c>
      <c r="CC46" s="4"/>
      <c r="CD46" s="26"/>
      <c r="CE46" s="4"/>
      <c r="CF46" s="4"/>
      <c r="CG46" s="4"/>
      <c r="CH46" s="2">
        <v>10</v>
      </c>
      <c r="CI46" s="2">
        <v>30</v>
      </c>
    </row>
    <row r="47" spans="2:87" ht="21.75" customHeight="1">
      <c r="B47" s="38"/>
      <c r="C47" s="48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R47" s="57" t="s">
        <v>38</v>
      </c>
      <c r="S47" s="58"/>
      <c r="T47" s="5"/>
      <c r="U47" s="5"/>
      <c r="V47" s="5"/>
      <c r="W47" s="5"/>
      <c r="X47" s="5"/>
      <c r="Y47" s="5"/>
      <c r="Z47" s="5"/>
      <c r="AA47" s="27" t="e">
        <f>IF(ISBLANK(AB47),"",AB47)</f>
        <v>#DIV/0!</v>
      </c>
      <c r="AB47" s="5" t="e">
        <f>AVERAGE(AB6:AB45)</f>
        <v>#DIV/0!</v>
      </c>
      <c r="AC47" s="57" t="s">
        <v>38</v>
      </c>
      <c r="AD47" s="58"/>
      <c r="AE47" s="5"/>
      <c r="AF47" s="5"/>
      <c r="AG47" s="5"/>
      <c r="AH47" s="5"/>
      <c r="AI47" s="5"/>
      <c r="AJ47" s="5"/>
      <c r="AK47" s="5"/>
      <c r="AL47" s="27" t="str">
        <f>IF(ISBLANK(AM47),"",AM47)</f>
        <v/>
      </c>
      <c r="AM47" s="5" t="str">
        <f>IF(ISERROR(AVERAGE(AM6:AM45)),"",AVERAGE(AM6:AM45))</f>
        <v/>
      </c>
      <c r="AN47" s="57" t="s">
        <v>38</v>
      </c>
      <c r="AO47" s="58"/>
      <c r="AP47" s="5"/>
      <c r="AQ47" s="5"/>
      <c r="AR47" s="5"/>
      <c r="AS47" s="5"/>
      <c r="AT47" s="5"/>
      <c r="AU47" s="5"/>
      <c r="AV47" s="5"/>
      <c r="AW47" s="27" t="str">
        <f>IF(ISBLANK(AX47),"",AX47)</f>
        <v/>
      </c>
      <c r="AX47" s="5" t="str">
        <f>IF(ISERROR(AVERAGE(AX6:AX45)),"",AVERAGE(AX6:AX45))</f>
        <v/>
      </c>
      <c r="AY47" s="57" t="s">
        <v>38</v>
      </c>
      <c r="AZ47" s="58"/>
      <c r="BA47" s="5"/>
      <c r="BB47" s="5"/>
      <c r="BC47" s="5"/>
      <c r="BD47" s="5"/>
      <c r="BE47" s="5"/>
      <c r="BF47" s="5"/>
      <c r="BG47" s="5"/>
      <c r="BH47" s="27" t="str">
        <f>IF(ISBLANK(BI47),"",BI47)</f>
        <v/>
      </c>
      <c r="BI47" s="5" t="str">
        <f>IF(ISERROR(AVERAGE(BI6:BI45)),"",AVERAGE(BI6:BI45))</f>
        <v/>
      </c>
      <c r="BJ47" s="57" t="s">
        <v>38</v>
      </c>
      <c r="BK47" s="58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27" t="str">
        <f>IF(ISBLANK(CB47),"",CB47)</f>
        <v/>
      </c>
      <c r="CB47" s="5" t="str">
        <f>IF(ISERROR(AVERAGE(CB6:CB45)),"",AVERAGE(CB6:CB45))</f>
        <v/>
      </c>
      <c r="CC47" s="57" t="s">
        <v>38</v>
      </c>
      <c r="CD47" s="58"/>
      <c r="CE47" s="5"/>
      <c r="CF47" s="5"/>
      <c r="CG47" s="5"/>
      <c r="CH47" s="27" t="str">
        <f>IF(ISBLANK(CI47),"",CI47)</f>
        <v/>
      </c>
      <c r="CI47" s="5" t="str">
        <f>IF(ISERROR(AVERAGE(CI6:CI45)),"",AVERAGE(CI6:CI45))</f>
        <v/>
      </c>
    </row>
    <row r="48" spans="2:87">
      <c r="B48" s="50"/>
      <c r="C48" s="50" t="s">
        <v>39</v>
      </c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</row>
    <row r="49" spans="2:87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R49" s="28" t="s">
        <v>40</v>
      </c>
      <c r="S49" s="28"/>
      <c r="T49" s="28" t="str">
        <f>IF(ISBLANK($G48),"",$G48)</f>
        <v/>
      </c>
      <c r="U49" s="28"/>
      <c r="V49" s="28"/>
      <c r="W49" s="28"/>
      <c r="X49" s="28"/>
      <c r="Y49" s="28"/>
      <c r="Z49" s="28"/>
      <c r="AA49" s="28"/>
      <c r="AB49" s="28"/>
      <c r="AC49" s="28" t="s">
        <v>40</v>
      </c>
      <c r="AD49" s="28"/>
      <c r="AE49" s="28" t="str">
        <f>IF(ISBLANK($G48),"",$G48)</f>
        <v/>
      </c>
      <c r="AF49" s="28"/>
      <c r="AG49" s="28"/>
      <c r="AH49" s="28"/>
      <c r="AI49" s="28"/>
      <c r="AJ49" s="28"/>
      <c r="AK49" s="28"/>
      <c r="AL49" s="28"/>
      <c r="AM49" s="28"/>
      <c r="AN49" s="28" t="s">
        <v>40</v>
      </c>
      <c r="AO49" s="28"/>
      <c r="AP49" s="28" t="str">
        <f>IF(ISBLANK($G48),"",$G48)</f>
        <v/>
      </c>
      <c r="AQ49" s="28"/>
      <c r="AR49" s="28"/>
      <c r="AS49" s="28"/>
      <c r="AT49" s="28"/>
      <c r="AU49" s="28"/>
      <c r="AV49" s="28"/>
      <c r="AW49" s="28"/>
      <c r="AX49" s="28"/>
      <c r="AY49" s="28" t="s">
        <v>40</v>
      </c>
      <c r="AZ49" s="28"/>
      <c r="BA49" s="28" t="str">
        <f>IF(ISBLANK($G48),"",$G48)</f>
        <v/>
      </c>
      <c r="BB49" s="28"/>
      <c r="BC49" s="28"/>
      <c r="BD49" s="28"/>
      <c r="BE49" s="28"/>
      <c r="BF49" s="28"/>
      <c r="BG49" s="28"/>
      <c r="BH49" s="28"/>
      <c r="BI49" s="28"/>
      <c r="BJ49" s="28" t="s">
        <v>40</v>
      </c>
      <c r="BK49" s="28"/>
      <c r="BL49" s="28"/>
      <c r="BM49" s="28"/>
      <c r="BN49" s="28"/>
      <c r="BO49" s="28"/>
      <c r="BP49" s="28" t="str">
        <f>IF(ISBLANK($G48),"",$G48)</f>
        <v/>
      </c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 t="s">
        <v>40</v>
      </c>
      <c r="CD49" s="28"/>
      <c r="CE49" s="28" t="str">
        <f>IF(ISBLANK($G48),"",$G48)</f>
        <v/>
      </c>
      <c r="CF49" s="28"/>
      <c r="CG49" s="28"/>
      <c r="CH49" s="28"/>
      <c r="CI49" s="28"/>
    </row>
    <row r="50" spans="2:87" ht="44.25" customHeight="1">
      <c r="B50" s="69" t="s">
        <v>17</v>
      </c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R50" s="69" t="s">
        <v>18</v>
      </c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9" t="s">
        <v>18</v>
      </c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9" t="s">
        <v>18</v>
      </c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9" t="s">
        <v>18</v>
      </c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9" t="s">
        <v>19</v>
      </c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9" t="s">
        <v>19</v>
      </c>
      <c r="CD50" s="68"/>
      <c r="CE50" s="68"/>
      <c r="CF50" s="68"/>
      <c r="CG50" s="68"/>
      <c r="CH50" s="68"/>
      <c r="CI50" s="68"/>
    </row>
    <row r="51" spans="2:87" ht="25.5" customHeight="1">
      <c r="B51" s="43" t="s">
        <v>16</v>
      </c>
      <c r="C51" s="43"/>
      <c r="D51" s="44" t="s">
        <v>0</v>
      </c>
      <c r="E51" s="47"/>
      <c r="F51" s="44" t="s">
        <v>2</v>
      </c>
      <c r="G51" s="47"/>
      <c r="H51" s="43"/>
      <c r="I51" s="43"/>
      <c r="J51" s="43"/>
      <c r="K51" s="43"/>
      <c r="L51" s="43"/>
      <c r="M51" s="43"/>
      <c r="N51" s="43"/>
      <c r="O51" s="43"/>
      <c r="R51" s="13" t="str">
        <f>$B$2</f>
        <v>fan</v>
      </c>
      <c r="S51" s="14">
        <f>$C$2</f>
        <v>0</v>
      </c>
      <c r="T51" s="13" t="str">
        <f>$D$2</f>
        <v>chorak</v>
      </c>
      <c r="U51" s="14">
        <f>$E$2</f>
        <v>0</v>
      </c>
      <c r="V51" s="13" t="str">
        <f>$F$2</f>
        <v xml:space="preserve">sinf </v>
      </c>
      <c r="W51" s="14">
        <f>$G$2</f>
        <v>0</v>
      </c>
      <c r="X51" s="15"/>
      <c r="Y51" s="15"/>
      <c r="Z51" s="15"/>
      <c r="AA51" s="15" t="b">
        <f>IF(MAX(AA55:AA94)&gt;40,50,IF(MAX(AA55:AA94)&gt;20,25,IF(MAX(AA55:AA94)&gt;15,20,IF(MAX(AA55:AA94)&gt;8,10))))</f>
        <v>0</v>
      </c>
      <c r="AB51" s="16" t="s">
        <v>20</v>
      </c>
      <c r="AC51" s="13" t="str">
        <f>$B$2</f>
        <v>fan</v>
      </c>
      <c r="AD51" s="14">
        <f>$C$2</f>
        <v>0</v>
      </c>
      <c r="AE51" s="13" t="str">
        <f>$D$2</f>
        <v>chorak</v>
      </c>
      <c r="AF51" s="14">
        <f>$E$2</f>
        <v>0</v>
      </c>
      <c r="AG51" s="13" t="str">
        <f>$F$2</f>
        <v xml:space="preserve">sinf </v>
      </c>
      <c r="AH51" s="14">
        <f>$G$2</f>
        <v>0</v>
      </c>
      <c r="AI51" s="15"/>
      <c r="AJ51" s="15"/>
      <c r="AK51" s="15"/>
      <c r="AL51" s="15" t="b">
        <f>IF(MAX(AL55:AL94)&gt;40,50,IF(MAX(AL55:AL94)&gt;20,25,IF(MAX(AL55:AL94)&gt;15,20,IF(MAX(AL55:AL94)&gt;8,10))))</f>
        <v>0</v>
      </c>
      <c r="AM51" s="16" t="s">
        <v>20</v>
      </c>
      <c r="AN51" s="13" t="str">
        <f>$B$2</f>
        <v>fan</v>
      </c>
      <c r="AO51" s="14">
        <f>$C$2</f>
        <v>0</v>
      </c>
      <c r="AP51" s="13" t="str">
        <f>$D$2</f>
        <v>chorak</v>
      </c>
      <c r="AQ51" s="14">
        <f>$E$2</f>
        <v>0</v>
      </c>
      <c r="AR51" s="13" t="str">
        <f>$F$2</f>
        <v xml:space="preserve">sinf </v>
      </c>
      <c r="AS51" s="14">
        <f>$G$2</f>
        <v>0</v>
      </c>
      <c r="AT51" s="15"/>
      <c r="AU51" s="15"/>
      <c r="AV51" s="15"/>
      <c r="AW51" s="15" t="b">
        <f>IF(MAX(AW55:AW94)&gt;40,50,IF(MAX(AW55:AW94)&gt;20,25,IF(MAX(AW55:AW94)&gt;15,20,IF(MAX(AW55:AW94)&gt;8,10))))</f>
        <v>0</v>
      </c>
      <c r="AX51" s="16" t="s">
        <v>20</v>
      </c>
      <c r="AY51" s="13" t="str">
        <f>$B$2</f>
        <v>fan</v>
      </c>
      <c r="AZ51" s="14">
        <f>$C$2</f>
        <v>0</v>
      </c>
      <c r="BA51" s="13" t="str">
        <f>$D$2</f>
        <v>chorak</v>
      </c>
      <c r="BB51" s="14">
        <f>$E$2</f>
        <v>0</v>
      </c>
      <c r="BC51" s="13" t="str">
        <f>$F$2</f>
        <v xml:space="preserve">sinf </v>
      </c>
      <c r="BD51" s="14">
        <f>$G$2</f>
        <v>0</v>
      </c>
      <c r="BE51" s="15"/>
      <c r="BF51" s="15"/>
      <c r="BG51" s="15"/>
      <c r="BH51" s="15" t="b">
        <f>IF(MAX(BH55:BH94)&gt;40,50,IF(MAX(BH55:BH94)&gt;20,25,IF(MAX(BH55:BH94)&gt;15,20,IF(MAX(BH55:BH94)&gt;8,10))))</f>
        <v>0</v>
      </c>
      <c r="BI51" s="16" t="s">
        <v>20</v>
      </c>
      <c r="BJ51" s="17" t="s">
        <v>16</v>
      </c>
      <c r="BK51" s="18">
        <f>$C$2</f>
        <v>0</v>
      </c>
      <c r="BL51" s="70" t="s">
        <v>0</v>
      </c>
      <c r="BM51" s="68"/>
      <c r="BN51" s="68"/>
      <c r="BO51" s="18">
        <f>$E$2</f>
        <v>0</v>
      </c>
      <c r="BP51" s="19"/>
      <c r="BQ51" s="17"/>
      <c r="BR51" s="70" t="s">
        <v>2</v>
      </c>
      <c r="BS51" s="68"/>
      <c r="BT51" s="70">
        <f>$G$2</f>
        <v>0</v>
      </c>
      <c r="BU51" s="68"/>
      <c r="BV51" s="68"/>
      <c r="BW51" s="18"/>
      <c r="BX51" s="19"/>
      <c r="BY51" s="17"/>
      <c r="BZ51" s="18"/>
      <c r="CA51" s="18">
        <v>40</v>
      </c>
      <c r="CB51" s="20" t="s">
        <v>20</v>
      </c>
      <c r="CC51" s="17" t="s">
        <v>16</v>
      </c>
      <c r="CD51" s="18">
        <f>$C$2</f>
        <v>0</v>
      </c>
      <c r="CE51" s="19" t="str">
        <f>"chorak: "&amp;$E$2</f>
        <v xml:space="preserve">chorak: </v>
      </c>
      <c r="CF51" s="18"/>
      <c r="CG51" s="19" t="str">
        <f>"sinf: "&amp; $G$2</f>
        <v xml:space="preserve">sinf: </v>
      </c>
      <c r="CH51" s="18">
        <v>40</v>
      </c>
      <c r="CI51" s="20" t="s">
        <v>20</v>
      </c>
    </row>
    <row r="52" spans="2:87" ht="18.75">
      <c r="B52" s="67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R52" s="67"/>
      <c r="S52" s="68"/>
      <c r="T52" s="68"/>
      <c r="U52" s="68"/>
      <c r="V52" s="68"/>
      <c r="W52" s="68"/>
      <c r="X52" s="68"/>
      <c r="Y52" s="68"/>
      <c r="Z52" s="68"/>
      <c r="AA52" s="68"/>
      <c r="AC52" s="67"/>
      <c r="AD52" s="68"/>
      <c r="AE52" s="68"/>
      <c r="AF52" s="68"/>
      <c r="AG52" s="68"/>
      <c r="AH52" s="68"/>
      <c r="AI52" s="68"/>
      <c r="AJ52" s="68"/>
      <c r="AK52" s="68"/>
      <c r="AL52" s="68"/>
      <c r="AN52" s="67"/>
      <c r="AO52" s="68"/>
      <c r="AP52" s="68"/>
      <c r="AQ52" s="68"/>
      <c r="AR52" s="68"/>
      <c r="AS52" s="68"/>
      <c r="AT52" s="68"/>
      <c r="AU52" s="68"/>
      <c r="AV52" s="68"/>
      <c r="AW52" s="68"/>
      <c r="AY52" s="67"/>
      <c r="AZ52" s="68"/>
      <c r="BA52" s="68"/>
      <c r="BB52" s="68"/>
      <c r="BC52" s="68"/>
      <c r="BD52" s="68"/>
      <c r="BE52" s="68"/>
      <c r="BF52" s="68"/>
      <c r="BG52" s="68"/>
      <c r="BH52" s="68"/>
      <c r="BJ52" s="67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C52" s="67"/>
      <c r="CD52" s="68"/>
      <c r="CE52" s="68"/>
      <c r="CF52" s="68"/>
      <c r="CG52" s="68"/>
      <c r="CH52" s="68"/>
    </row>
    <row r="53" spans="2:87" ht="18" customHeight="1">
      <c r="B53" s="71" t="s">
        <v>21</v>
      </c>
      <c r="C53" s="71" t="s">
        <v>22</v>
      </c>
      <c r="D53" s="71" t="s">
        <v>23</v>
      </c>
      <c r="E53" s="60"/>
      <c r="F53" s="60"/>
      <c r="G53" s="60"/>
      <c r="H53" s="60"/>
      <c r="I53" s="60"/>
      <c r="J53" s="58"/>
      <c r="K53" s="46"/>
      <c r="L53" s="46"/>
      <c r="M53" s="46"/>
      <c r="N53" s="46"/>
      <c r="O53" s="71" t="s">
        <v>24</v>
      </c>
      <c r="P53" s="72" t="s">
        <v>16</v>
      </c>
      <c r="Q53" s="74" t="str">
        <f>IF(ISBLANK(C51),"",C51)</f>
        <v/>
      </c>
      <c r="R53" s="66" t="s">
        <v>21</v>
      </c>
      <c r="S53" s="66" t="s">
        <v>22</v>
      </c>
      <c r="T53" s="62" t="s">
        <v>25</v>
      </c>
      <c r="U53" s="60"/>
      <c r="V53" s="60"/>
      <c r="W53" s="60"/>
      <c r="X53" s="60"/>
      <c r="Y53" s="60"/>
      <c r="Z53" s="60"/>
      <c r="AA53" s="63" t="s">
        <v>26</v>
      </c>
      <c r="AB53" s="65" t="s">
        <v>27</v>
      </c>
      <c r="AC53" s="66" t="s">
        <v>21</v>
      </c>
      <c r="AD53" s="66" t="s">
        <v>22</v>
      </c>
      <c r="AE53" s="62" t="s">
        <v>25</v>
      </c>
      <c r="AF53" s="60"/>
      <c r="AG53" s="60"/>
      <c r="AH53" s="60"/>
      <c r="AI53" s="60"/>
      <c r="AJ53" s="60"/>
      <c r="AK53" s="60"/>
      <c r="AL53" s="63" t="s">
        <v>26</v>
      </c>
      <c r="AM53" s="65" t="s">
        <v>27</v>
      </c>
      <c r="AN53" s="66" t="s">
        <v>21</v>
      </c>
      <c r="AO53" s="66" t="s">
        <v>22</v>
      </c>
      <c r="AP53" s="62" t="s">
        <v>25</v>
      </c>
      <c r="AQ53" s="60"/>
      <c r="AR53" s="60"/>
      <c r="AS53" s="60"/>
      <c r="AT53" s="60"/>
      <c r="AU53" s="60"/>
      <c r="AV53" s="60"/>
      <c r="AW53" s="63" t="s">
        <v>26</v>
      </c>
      <c r="AX53" s="65" t="s">
        <v>27</v>
      </c>
      <c r="AY53" s="66" t="s">
        <v>21</v>
      </c>
      <c r="AZ53" s="66" t="s">
        <v>22</v>
      </c>
      <c r="BA53" s="62" t="s">
        <v>25</v>
      </c>
      <c r="BB53" s="60"/>
      <c r="BC53" s="60"/>
      <c r="BD53" s="60"/>
      <c r="BE53" s="60"/>
      <c r="BF53" s="60"/>
      <c r="BG53" s="60"/>
      <c r="BH53" s="63" t="s">
        <v>26</v>
      </c>
      <c r="BI53" s="65" t="s">
        <v>27</v>
      </c>
      <c r="BJ53" s="61" t="s">
        <v>21</v>
      </c>
      <c r="BK53" s="61" t="s">
        <v>22</v>
      </c>
      <c r="BL53" s="61" t="s">
        <v>25</v>
      </c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58"/>
      <c r="CA53" s="61" t="s">
        <v>28</v>
      </c>
      <c r="CB53" s="55" t="s">
        <v>27</v>
      </c>
      <c r="CC53" s="61" t="s">
        <v>21</v>
      </c>
      <c r="CD53" s="61" t="s">
        <v>22</v>
      </c>
      <c r="CE53" s="59" t="s">
        <v>25</v>
      </c>
      <c r="CF53" s="60"/>
      <c r="CG53" s="60"/>
      <c r="CH53" s="61" t="s">
        <v>28</v>
      </c>
      <c r="CI53" s="55" t="s">
        <v>27</v>
      </c>
    </row>
    <row r="54" spans="2:87" ht="52.15" customHeight="1">
      <c r="B54" s="56"/>
      <c r="C54" s="56"/>
      <c r="D54" s="51" t="s">
        <v>29</v>
      </c>
      <c r="E54" s="51" t="s">
        <v>29</v>
      </c>
      <c r="F54" s="51" t="s">
        <v>29</v>
      </c>
      <c r="G54" s="51" t="s">
        <v>30</v>
      </c>
      <c r="H54" s="51" t="s">
        <v>31</v>
      </c>
      <c r="I54" s="51" t="s">
        <v>32</v>
      </c>
      <c r="J54" s="51" t="s">
        <v>33</v>
      </c>
      <c r="K54" s="51"/>
      <c r="L54" s="51"/>
      <c r="M54" s="51"/>
      <c r="N54" s="51" t="s">
        <v>34</v>
      </c>
      <c r="O54" s="56"/>
      <c r="P54" s="73"/>
      <c r="Q54" s="75"/>
      <c r="R54" s="56"/>
      <c r="S54" s="56"/>
      <c r="T54" s="21">
        <v>1</v>
      </c>
      <c r="U54" s="21">
        <v>2</v>
      </c>
      <c r="V54" s="21">
        <v>3</v>
      </c>
      <c r="W54" s="21">
        <v>4</v>
      </c>
      <c r="X54" s="21">
        <v>5</v>
      </c>
      <c r="Y54" s="21">
        <v>6</v>
      </c>
      <c r="Z54" s="21">
        <v>7</v>
      </c>
      <c r="AA54" s="64"/>
      <c r="AB54" s="56"/>
      <c r="AC54" s="56"/>
      <c r="AD54" s="56"/>
      <c r="AE54" s="21">
        <v>1</v>
      </c>
      <c r="AF54" s="21">
        <v>2</v>
      </c>
      <c r="AG54" s="21">
        <v>3</v>
      </c>
      <c r="AH54" s="21">
        <v>4</v>
      </c>
      <c r="AI54" s="21">
        <v>5</v>
      </c>
      <c r="AJ54" s="21">
        <v>6</v>
      </c>
      <c r="AK54" s="21">
        <v>7</v>
      </c>
      <c r="AL54" s="64"/>
      <c r="AM54" s="56"/>
      <c r="AN54" s="56"/>
      <c r="AO54" s="56"/>
      <c r="AP54" s="21">
        <v>1</v>
      </c>
      <c r="AQ54" s="21">
        <v>2</v>
      </c>
      <c r="AR54" s="21">
        <v>3</v>
      </c>
      <c r="AS54" s="21">
        <v>4</v>
      </c>
      <c r="AT54" s="21">
        <v>5</v>
      </c>
      <c r="AU54" s="21">
        <v>6</v>
      </c>
      <c r="AV54" s="21">
        <v>7</v>
      </c>
      <c r="AW54" s="64"/>
      <c r="AX54" s="56"/>
      <c r="AY54" s="56"/>
      <c r="AZ54" s="56"/>
      <c r="BA54" s="21">
        <v>1</v>
      </c>
      <c r="BB54" s="21">
        <v>2</v>
      </c>
      <c r="BC54" s="21">
        <v>3</v>
      </c>
      <c r="BD54" s="21">
        <v>4</v>
      </c>
      <c r="BE54" s="21">
        <v>5</v>
      </c>
      <c r="BF54" s="21">
        <v>6</v>
      </c>
      <c r="BG54" s="21">
        <v>7</v>
      </c>
      <c r="BH54" s="64"/>
      <c r="BI54" s="56"/>
      <c r="BJ54" s="56"/>
      <c r="BK54" s="56"/>
      <c r="BL54" s="22">
        <v>1</v>
      </c>
      <c r="BM54" s="22">
        <v>2</v>
      </c>
      <c r="BN54" s="22">
        <v>3</v>
      </c>
      <c r="BO54" s="22">
        <v>4</v>
      </c>
      <c r="BP54" s="22">
        <v>5</v>
      </c>
      <c r="BQ54" s="22">
        <v>6</v>
      </c>
      <c r="BR54" s="22">
        <v>7</v>
      </c>
      <c r="BS54" s="22">
        <v>8</v>
      </c>
      <c r="BT54" s="22">
        <v>9</v>
      </c>
      <c r="BU54" s="22">
        <v>10</v>
      </c>
      <c r="BV54" s="22">
        <v>11</v>
      </c>
      <c r="BW54" s="22">
        <v>12</v>
      </c>
      <c r="BX54" s="22">
        <v>13</v>
      </c>
      <c r="BY54" s="22">
        <v>14</v>
      </c>
      <c r="BZ54" s="22">
        <v>15</v>
      </c>
      <c r="CA54" s="56"/>
      <c r="CB54" s="56"/>
      <c r="CC54" s="56"/>
      <c r="CD54" s="56"/>
      <c r="CE54" s="22" t="s">
        <v>35</v>
      </c>
      <c r="CF54" s="22" t="s">
        <v>36</v>
      </c>
      <c r="CG54" s="22" t="s">
        <v>37</v>
      </c>
      <c r="CH54" s="56"/>
      <c r="CI54" s="56"/>
    </row>
    <row r="55" spans="2:87" ht="21.75" customHeight="1">
      <c r="B55" s="38">
        <v>1</v>
      </c>
      <c r="C55" s="41"/>
      <c r="D55" s="45"/>
      <c r="E55" s="45"/>
      <c r="F55" s="45"/>
      <c r="G55" s="45"/>
      <c r="H55" s="45"/>
      <c r="I55" s="45"/>
      <c r="J55" s="45"/>
      <c r="K55" s="53"/>
      <c r="L55" s="53"/>
      <c r="M55" s="53"/>
      <c r="N55" s="45"/>
      <c r="O55" s="45"/>
      <c r="P55" s="29" t="s">
        <v>10</v>
      </c>
      <c r="Q55" s="32" t="str">
        <f>IF(ISBLANK(G51),"",G51)</f>
        <v/>
      </c>
      <c r="R55" s="4">
        <f t="shared" ref="R55:R94" si="24">IF(ISBLANK($B55),"",$B55)</f>
        <v>1</v>
      </c>
      <c r="S55" s="1" t="str">
        <f t="shared" ref="S55:S94" si="25">IF(ISBLANK($C55),"",$C55)</f>
        <v/>
      </c>
      <c r="T55" s="4"/>
      <c r="U55" s="4"/>
      <c r="V55" s="4"/>
      <c r="W55" s="4"/>
      <c r="X55" s="4"/>
      <c r="Y55" s="4"/>
      <c r="Z55" s="4"/>
      <c r="AA55" s="2" t="str">
        <f t="shared" ref="AA55:AA94" si="26">IF(ISBLANK($D55),"",$D55)</f>
        <v/>
      </c>
      <c r="AB55" s="2" t="str">
        <f t="shared" ref="AB55:AB94" si="27">IF(OR(ISBLANK(AA55),AA55=""),"",AA55*100/AA$2)</f>
        <v/>
      </c>
      <c r="AC55" s="4">
        <f t="shared" ref="AC55:AC94" si="28">IF(ISBLANK($B55),"",$B55)</f>
        <v>1</v>
      </c>
      <c r="AD55" s="1" t="str">
        <f t="shared" ref="AD55:AD94" si="29">IF(ISBLANK($C55),"",$C55)</f>
        <v/>
      </c>
      <c r="AE55" s="4"/>
      <c r="AF55" s="4"/>
      <c r="AG55" s="4"/>
      <c r="AH55" s="4"/>
      <c r="AI55" s="4"/>
      <c r="AJ55" s="4"/>
      <c r="AK55" s="4"/>
      <c r="AL55" s="2" t="str">
        <f t="shared" ref="AL55:AL94" si="30">IF(ISBLANK($E55),"",$E55)</f>
        <v/>
      </c>
      <c r="AM55" s="2" t="str">
        <f t="shared" ref="AM55:AM94" si="31">IF(OR(ISBLANK(AL55),AL55=""),"",AL55*100/AL$2)</f>
        <v/>
      </c>
      <c r="AN55" s="4">
        <f t="shared" ref="AN55:AN94" si="32">IF(ISBLANK($B55),"",$B55)</f>
        <v>1</v>
      </c>
      <c r="AO55" s="1" t="str">
        <f t="shared" ref="AO55:AO94" si="33">IF(ISBLANK($C55),"",$C55)</f>
        <v/>
      </c>
      <c r="AP55" s="4"/>
      <c r="AQ55" s="4"/>
      <c r="AR55" s="4"/>
      <c r="AS55" s="4"/>
      <c r="AT55" s="4"/>
      <c r="AU55" s="4"/>
      <c r="AV55" s="4"/>
      <c r="AW55" s="2" t="str">
        <f t="shared" ref="AW55:AW94" si="34">IF(ISBLANK($F55),"",$F55)</f>
        <v/>
      </c>
      <c r="AX55" s="23" t="str">
        <f t="shared" ref="AX55:AX94" si="35">IF(OR(ISBLANK(AW55),AW55=""),"",AW55*100/AW$2)</f>
        <v/>
      </c>
      <c r="AY55" s="4">
        <f t="shared" ref="AY55:AY94" si="36">IF(ISBLANK($B55),"",$B55)</f>
        <v>1</v>
      </c>
      <c r="AZ55" s="1" t="str">
        <f t="shared" ref="AZ55:AZ94" si="37">IF(ISBLANK($C55),"",$C55)</f>
        <v/>
      </c>
      <c r="BA55" s="4"/>
      <c r="BB55" s="4"/>
      <c r="BC55" s="4"/>
      <c r="BD55" s="4"/>
      <c r="BE55" s="4"/>
      <c r="BF55" s="4"/>
      <c r="BG55" s="4"/>
      <c r="BH55" s="2" t="str">
        <f t="shared" ref="BH55:BH94" si="38">IF(ISBLANK($G55),"",$G55)</f>
        <v/>
      </c>
      <c r="BI55" s="2" t="str">
        <f t="shared" ref="BI55:BI94" si="39">IF(OR(ISBLANK(BH55),BH55=""),"",BH55*100/BH$2)</f>
        <v/>
      </c>
      <c r="BJ55" s="4">
        <f t="shared" ref="BJ55:BJ94" si="40">IF(ISBLANK($B55),"",$B55)</f>
        <v>1</v>
      </c>
      <c r="BK55" s="1" t="str">
        <f t="shared" ref="BK55:BK94" si="41">IF(ISBLANK($C55),"",$C55)</f>
        <v/>
      </c>
      <c r="BL55" s="23"/>
      <c r="BM55" s="23"/>
      <c r="BN55" s="23"/>
      <c r="BO55" s="4"/>
      <c r="BP55" s="24"/>
      <c r="BQ55" s="23"/>
      <c r="BR55" s="4"/>
      <c r="BS55" s="24"/>
      <c r="BT55" s="23"/>
      <c r="BU55" s="23"/>
      <c r="BV55" s="23"/>
      <c r="BW55" s="4"/>
      <c r="BX55" s="24"/>
      <c r="BY55" s="23"/>
      <c r="BZ55" s="4"/>
      <c r="CA55" s="2" t="str">
        <f t="shared" ref="CA55:CA94" si="42">IF(ISBLANK($I55),"",$I55)</f>
        <v/>
      </c>
      <c r="CB55" s="2" t="str">
        <f t="shared" ref="CB55:CB92" si="43">IF(OR(ISBLANK(CA55),CA55=""),"",CA55*100/CA$2)</f>
        <v/>
      </c>
      <c r="CC55" s="4">
        <f t="shared" ref="CC55:CC94" si="44">IF(ISBLANK($B55),"",$B55)</f>
        <v>1</v>
      </c>
      <c r="CD55" s="1" t="str">
        <f t="shared" ref="CD55:CD94" si="45">IF(ISBLANK($C55),"",$C55)</f>
        <v/>
      </c>
      <c r="CE55" s="23"/>
      <c r="CF55" s="4"/>
      <c r="CG55" s="4"/>
      <c r="CH55" s="2" t="str">
        <f t="shared" ref="CH55:CH94" si="46">IF(ISBLANK($I55),"",$I55)</f>
        <v/>
      </c>
      <c r="CI55" s="2" t="str">
        <f t="shared" ref="CI55:CI92" si="47">IF(OR(ISBLANK(CH55),CH55=""),"",CH55*100/CH$2)</f>
        <v/>
      </c>
    </row>
    <row r="56" spans="2:87" ht="21.75" customHeight="1">
      <c r="B56" s="38">
        <v>2</v>
      </c>
      <c r="C56" s="41"/>
      <c r="D56" s="45"/>
      <c r="E56" s="45"/>
      <c r="F56" s="45"/>
      <c r="G56" s="45"/>
      <c r="H56" s="45"/>
      <c r="I56" s="45"/>
      <c r="J56" s="45"/>
      <c r="K56" s="53"/>
      <c r="L56" s="53"/>
      <c r="M56" s="53"/>
      <c r="N56" s="45"/>
      <c r="O56" s="45"/>
      <c r="P56" s="29" t="s">
        <v>11</v>
      </c>
      <c r="Q56" s="32">
        <v>2</v>
      </c>
      <c r="R56" s="4">
        <f t="shared" si="24"/>
        <v>2</v>
      </c>
      <c r="S56" s="1" t="str">
        <f t="shared" si="25"/>
        <v/>
      </c>
      <c r="T56" s="4"/>
      <c r="U56" s="4"/>
      <c r="V56" s="4"/>
      <c r="W56" s="4"/>
      <c r="X56" s="4"/>
      <c r="Y56" s="4"/>
      <c r="Z56" s="4"/>
      <c r="AA56" s="2" t="str">
        <f t="shared" si="26"/>
        <v/>
      </c>
      <c r="AB56" s="2" t="str">
        <f t="shared" si="27"/>
        <v/>
      </c>
      <c r="AC56" s="4">
        <f t="shared" si="28"/>
        <v>2</v>
      </c>
      <c r="AD56" s="1" t="str">
        <f t="shared" si="29"/>
        <v/>
      </c>
      <c r="AE56" s="4"/>
      <c r="AF56" s="4"/>
      <c r="AG56" s="4"/>
      <c r="AH56" s="4"/>
      <c r="AI56" s="4"/>
      <c r="AJ56" s="4"/>
      <c r="AK56" s="4"/>
      <c r="AL56" s="2" t="str">
        <f t="shared" si="30"/>
        <v/>
      </c>
      <c r="AM56" s="2" t="str">
        <f t="shared" si="31"/>
        <v/>
      </c>
      <c r="AN56" s="4">
        <f t="shared" si="32"/>
        <v>2</v>
      </c>
      <c r="AO56" s="1" t="str">
        <f t="shared" si="33"/>
        <v/>
      </c>
      <c r="AP56" s="4"/>
      <c r="AQ56" s="4"/>
      <c r="AR56" s="4"/>
      <c r="AS56" s="4"/>
      <c r="AT56" s="4"/>
      <c r="AU56" s="4"/>
      <c r="AV56" s="4"/>
      <c r="AW56" s="2" t="str">
        <f t="shared" si="34"/>
        <v/>
      </c>
      <c r="AX56" s="23" t="str">
        <f t="shared" si="35"/>
        <v/>
      </c>
      <c r="AY56" s="4">
        <f t="shared" si="36"/>
        <v>2</v>
      </c>
      <c r="AZ56" s="1" t="str">
        <f t="shared" si="37"/>
        <v/>
      </c>
      <c r="BA56" s="4"/>
      <c r="BB56" s="4"/>
      <c r="BC56" s="4"/>
      <c r="BD56" s="4"/>
      <c r="BE56" s="4"/>
      <c r="BF56" s="4"/>
      <c r="BG56" s="4"/>
      <c r="BH56" s="2" t="str">
        <f t="shared" si="38"/>
        <v/>
      </c>
      <c r="BI56" s="2" t="str">
        <f t="shared" si="39"/>
        <v/>
      </c>
      <c r="BJ56" s="4">
        <f t="shared" si="40"/>
        <v>2</v>
      </c>
      <c r="BK56" s="1" t="str">
        <f t="shared" si="41"/>
        <v/>
      </c>
      <c r="BL56" s="23"/>
      <c r="BM56" s="23"/>
      <c r="BN56" s="23"/>
      <c r="BO56" s="4"/>
      <c r="BP56" s="24"/>
      <c r="BQ56" s="23"/>
      <c r="BR56" s="4"/>
      <c r="BS56" s="24"/>
      <c r="BT56" s="23"/>
      <c r="BU56" s="23"/>
      <c r="BV56" s="23"/>
      <c r="BW56" s="4"/>
      <c r="BX56" s="24"/>
      <c r="BY56" s="23"/>
      <c r="BZ56" s="4"/>
      <c r="CA56" s="2" t="str">
        <f t="shared" si="42"/>
        <v/>
      </c>
      <c r="CB56" s="2" t="str">
        <f t="shared" si="43"/>
        <v/>
      </c>
      <c r="CC56" s="4">
        <f t="shared" si="44"/>
        <v>2</v>
      </c>
      <c r="CD56" s="1" t="str">
        <f t="shared" si="45"/>
        <v/>
      </c>
      <c r="CE56" s="23"/>
      <c r="CF56" s="4"/>
      <c r="CG56" s="4"/>
      <c r="CH56" s="2" t="str">
        <f t="shared" si="46"/>
        <v/>
      </c>
      <c r="CI56" s="2" t="str">
        <f t="shared" si="47"/>
        <v/>
      </c>
    </row>
    <row r="57" spans="2:87" ht="21.75" customHeight="1">
      <c r="B57" s="38">
        <v>3</v>
      </c>
      <c r="C57" s="41"/>
      <c r="D57" s="45"/>
      <c r="E57" s="45"/>
      <c r="F57" s="45"/>
      <c r="G57" s="45"/>
      <c r="H57" s="45"/>
      <c r="I57" s="45"/>
      <c r="J57" s="45"/>
      <c r="K57" s="53"/>
      <c r="L57" s="53"/>
      <c r="M57" s="53"/>
      <c r="N57" s="45"/>
      <c r="O57" s="45"/>
      <c r="P57" s="30" t="s">
        <v>38</v>
      </c>
      <c r="Q57" s="33" t="str">
        <f>IF(ISBLANK(C55),"",AVERAGE(J55:J94))</f>
        <v/>
      </c>
      <c r="R57" s="4">
        <f t="shared" si="24"/>
        <v>3</v>
      </c>
      <c r="S57" s="1" t="str">
        <f t="shared" si="25"/>
        <v/>
      </c>
      <c r="T57" s="4"/>
      <c r="U57" s="4"/>
      <c r="V57" s="4"/>
      <c r="W57" s="4"/>
      <c r="X57" s="4"/>
      <c r="Y57" s="4"/>
      <c r="Z57" s="4"/>
      <c r="AA57" s="2" t="str">
        <f t="shared" si="26"/>
        <v/>
      </c>
      <c r="AB57" s="2" t="str">
        <f t="shared" si="27"/>
        <v/>
      </c>
      <c r="AC57" s="4">
        <f t="shared" si="28"/>
        <v>3</v>
      </c>
      <c r="AD57" s="1" t="str">
        <f t="shared" si="29"/>
        <v/>
      </c>
      <c r="AE57" s="4"/>
      <c r="AF57" s="4"/>
      <c r="AG57" s="4"/>
      <c r="AH57" s="4"/>
      <c r="AI57" s="4"/>
      <c r="AJ57" s="4"/>
      <c r="AK57" s="4"/>
      <c r="AL57" s="2" t="str">
        <f t="shared" si="30"/>
        <v/>
      </c>
      <c r="AM57" s="2" t="str">
        <f t="shared" si="31"/>
        <v/>
      </c>
      <c r="AN57" s="4">
        <f t="shared" si="32"/>
        <v>3</v>
      </c>
      <c r="AO57" s="1" t="str">
        <f t="shared" si="33"/>
        <v/>
      </c>
      <c r="AP57" s="4"/>
      <c r="AQ57" s="4"/>
      <c r="AR57" s="4"/>
      <c r="AS57" s="4"/>
      <c r="AT57" s="4"/>
      <c r="AU57" s="4"/>
      <c r="AV57" s="4"/>
      <c r="AW57" s="2" t="str">
        <f t="shared" si="34"/>
        <v/>
      </c>
      <c r="AX57" s="23" t="str">
        <f t="shared" si="35"/>
        <v/>
      </c>
      <c r="AY57" s="4">
        <f t="shared" si="36"/>
        <v>3</v>
      </c>
      <c r="AZ57" s="1" t="str">
        <f t="shared" si="37"/>
        <v/>
      </c>
      <c r="BA57" s="4"/>
      <c r="BB57" s="4"/>
      <c r="BC57" s="4"/>
      <c r="BD57" s="4"/>
      <c r="BE57" s="4"/>
      <c r="BF57" s="4"/>
      <c r="BG57" s="4"/>
      <c r="BH57" s="2" t="str">
        <f t="shared" si="38"/>
        <v/>
      </c>
      <c r="BI57" s="2" t="str">
        <f t="shared" si="39"/>
        <v/>
      </c>
      <c r="BJ57" s="4">
        <f t="shared" si="40"/>
        <v>3</v>
      </c>
      <c r="BK57" s="1" t="str">
        <f t="shared" si="41"/>
        <v/>
      </c>
      <c r="BL57" s="23"/>
      <c r="BM57" s="23"/>
      <c r="BN57" s="23"/>
      <c r="BO57" s="4"/>
      <c r="BP57" s="24"/>
      <c r="BQ57" s="23"/>
      <c r="BR57" s="4"/>
      <c r="BS57" s="24"/>
      <c r="BT57" s="23"/>
      <c r="BU57" s="23"/>
      <c r="BV57" s="23"/>
      <c r="BW57" s="4"/>
      <c r="BX57" s="24"/>
      <c r="BY57" s="23"/>
      <c r="BZ57" s="4"/>
      <c r="CA57" s="2" t="str">
        <f t="shared" si="42"/>
        <v/>
      </c>
      <c r="CB57" s="2" t="str">
        <f t="shared" si="43"/>
        <v/>
      </c>
      <c r="CC57" s="4">
        <f t="shared" si="44"/>
        <v>3</v>
      </c>
      <c r="CD57" s="1" t="str">
        <f t="shared" si="45"/>
        <v/>
      </c>
      <c r="CE57" s="23"/>
      <c r="CF57" s="4"/>
      <c r="CG57" s="4"/>
      <c r="CH57" s="2" t="str">
        <f t="shared" si="46"/>
        <v/>
      </c>
      <c r="CI57" s="2" t="str">
        <f t="shared" si="47"/>
        <v/>
      </c>
    </row>
    <row r="58" spans="2:87" ht="21.75" customHeight="1">
      <c r="B58" s="38">
        <v>4</v>
      </c>
      <c r="C58" s="41"/>
      <c r="D58" s="45"/>
      <c r="E58" s="45"/>
      <c r="F58" s="45"/>
      <c r="G58" s="45"/>
      <c r="H58" s="45"/>
      <c r="I58" s="45"/>
      <c r="J58" s="45"/>
      <c r="K58" s="53"/>
      <c r="L58" s="53"/>
      <c r="M58" s="53"/>
      <c r="N58" s="45"/>
      <c r="O58" s="45"/>
      <c r="P58" s="30" t="s">
        <v>42</v>
      </c>
      <c r="Q58" s="32" t="str">
        <f>IF(ISBLANK(C55),"",COUNTIF(O55:O94,5))</f>
        <v/>
      </c>
      <c r="R58" s="4">
        <f t="shared" si="24"/>
        <v>4</v>
      </c>
      <c r="S58" s="1" t="str">
        <f t="shared" si="25"/>
        <v/>
      </c>
      <c r="T58" s="4"/>
      <c r="U58" s="4"/>
      <c r="V58" s="4"/>
      <c r="W58" s="4"/>
      <c r="X58" s="4"/>
      <c r="Y58" s="4"/>
      <c r="Z58" s="4"/>
      <c r="AA58" s="2" t="str">
        <f t="shared" si="26"/>
        <v/>
      </c>
      <c r="AB58" s="2" t="str">
        <f t="shared" si="27"/>
        <v/>
      </c>
      <c r="AC58" s="4">
        <f t="shared" si="28"/>
        <v>4</v>
      </c>
      <c r="AD58" s="1" t="str">
        <f t="shared" si="29"/>
        <v/>
      </c>
      <c r="AE58" s="4"/>
      <c r="AF58" s="4"/>
      <c r="AG58" s="4"/>
      <c r="AH58" s="4"/>
      <c r="AI58" s="4"/>
      <c r="AJ58" s="4"/>
      <c r="AK58" s="4"/>
      <c r="AL58" s="2" t="str">
        <f t="shared" si="30"/>
        <v/>
      </c>
      <c r="AM58" s="2" t="str">
        <f t="shared" si="31"/>
        <v/>
      </c>
      <c r="AN58" s="4">
        <f t="shared" si="32"/>
        <v>4</v>
      </c>
      <c r="AO58" s="1" t="str">
        <f t="shared" si="33"/>
        <v/>
      </c>
      <c r="AP58" s="4"/>
      <c r="AQ58" s="4"/>
      <c r="AR58" s="4"/>
      <c r="AS58" s="4"/>
      <c r="AT58" s="4"/>
      <c r="AU58" s="4"/>
      <c r="AV58" s="4"/>
      <c r="AW58" s="2" t="str">
        <f t="shared" si="34"/>
        <v/>
      </c>
      <c r="AX58" s="23" t="str">
        <f t="shared" si="35"/>
        <v/>
      </c>
      <c r="AY58" s="4">
        <f t="shared" si="36"/>
        <v>4</v>
      </c>
      <c r="AZ58" s="1" t="str">
        <f t="shared" si="37"/>
        <v/>
      </c>
      <c r="BA58" s="4"/>
      <c r="BB58" s="4"/>
      <c r="BC58" s="4"/>
      <c r="BD58" s="4"/>
      <c r="BE58" s="4"/>
      <c r="BF58" s="4"/>
      <c r="BG58" s="4"/>
      <c r="BH58" s="2" t="str">
        <f t="shared" si="38"/>
        <v/>
      </c>
      <c r="BI58" s="2" t="str">
        <f t="shared" si="39"/>
        <v/>
      </c>
      <c r="BJ58" s="4">
        <f t="shared" si="40"/>
        <v>4</v>
      </c>
      <c r="BK58" s="1" t="str">
        <f t="shared" si="41"/>
        <v/>
      </c>
      <c r="BL58" s="23"/>
      <c r="BM58" s="23"/>
      <c r="BN58" s="23"/>
      <c r="BO58" s="4"/>
      <c r="BP58" s="24"/>
      <c r="BQ58" s="23"/>
      <c r="BR58" s="4"/>
      <c r="BS58" s="24"/>
      <c r="BT58" s="23"/>
      <c r="BU58" s="23"/>
      <c r="BV58" s="23"/>
      <c r="BW58" s="4"/>
      <c r="BX58" s="24"/>
      <c r="BY58" s="23"/>
      <c r="BZ58" s="4"/>
      <c r="CA58" s="2" t="str">
        <f t="shared" si="42"/>
        <v/>
      </c>
      <c r="CB58" s="2" t="str">
        <f t="shared" si="43"/>
        <v/>
      </c>
      <c r="CC58" s="4">
        <f t="shared" si="44"/>
        <v>4</v>
      </c>
      <c r="CD58" s="1" t="str">
        <f t="shared" si="45"/>
        <v/>
      </c>
      <c r="CE58" s="23"/>
      <c r="CF58" s="4"/>
      <c r="CG58" s="4"/>
      <c r="CH58" s="2" t="str">
        <f t="shared" si="46"/>
        <v/>
      </c>
      <c r="CI58" s="2" t="str">
        <f t="shared" si="47"/>
        <v/>
      </c>
    </row>
    <row r="59" spans="2:87" ht="21.75" customHeight="1">
      <c r="B59" s="38">
        <v>5</v>
      </c>
      <c r="C59" s="41"/>
      <c r="D59" s="45"/>
      <c r="E59" s="45"/>
      <c r="F59" s="45"/>
      <c r="G59" s="45"/>
      <c r="H59" s="45"/>
      <c r="I59" s="45"/>
      <c r="J59" s="45"/>
      <c r="K59" s="53"/>
      <c r="L59" s="53"/>
      <c r="M59" s="53"/>
      <c r="N59" s="45"/>
      <c r="O59" s="45"/>
      <c r="P59" s="30" t="s">
        <v>43</v>
      </c>
      <c r="Q59" s="32" t="str">
        <f>IF(ISBLANK(C55),"",COUNTIF(O55:O94,4))</f>
        <v/>
      </c>
      <c r="R59" s="4">
        <f t="shared" si="24"/>
        <v>5</v>
      </c>
      <c r="S59" s="1" t="str">
        <f t="shared" si="25"/>
        <v/>
      </c>
      <c r="T59" s="4"/>
      <c r="U59" s="4"/>
      <c r="V59" s="4"/>
      <c r="W59" s="4"/>
      <c r="X59" s="4"/>
      <c r="Y59" s="4"/>
      <c r="Z59" s="4"/>
      <c r="AA59" s="2" t="str">
        <f t="shared" si="26"/>
        <v/>
      </c>
      <c r="AB59" s="2" t="str">
        <f t="shared" si="27"/>
        <v/>
      </c>
      <c r="AC59" s="4">
        <f t="shared" si="28"/>
        <v>5</v>
      </c>
      <c r="AD59" s="1" t="str">
        <f t="shared" si="29"/>
        <v/>
      </c>
      <c r="AE59" s="4"/>
      <c r="AF59" s="4"/>
      <c r="AG59" s="4"/>
      <c r="AH59" s="4"/>
      <c r="AI59" s="4"/>
      <c r="AJ59" s="4"/>
      <c r="AK59" s="4"/>
      <c r="AL59" s="2" t="str">
        <f t="shared" si="30"/>
        <v/>
      </c>
      <c r="AM59" s="2" t="str">
        <f t="shared" si="31"/>
        <v/>
      </c>
      <c r="AN59" s="4">
        <f t="shared" si="32"/>
        <v>5</v>
      </c>
      <c r="AO59" s="1" t="str">
        <f t="shared" si="33"/>
        <v/>
      </c>
      <c r="AP59" s="4"/>
      <c r="AQ59" s="4"/>
      <c r="AR59" s="4"/>
      <c r="AS59" s="4"/>
      <c r="AT59" s="4"/>
      <c r="AU59" s="4"/>
      <c r="AV59" s="4"/>
      <c r="AW59" s="2" t="str">
        <f t="shared" si="34"/>
        <v/>
      </c>
      <c r="AX59" s="23" t="str">
        <f t="shared" si="35"/>
        <v/>
      </c>
      <c r="AY59" s="4">
        <f t="shared" si="36"/>
        <v>5</v>
      </c>
      <c r="AZ59" s="1" t="str">
        <f t="shared" si="37"/>
        <v/>
      </c>
      <c r="BA59" s="4"/>
      <c r="BB59" s="4"/>
      <c r="BC59" s="4"/>
      <c r="BD59" s="4"/>
      <c r="BE59" s="4"/>
      <c r="BF59" s="4"/>
      <c r="BG59" s="4"/>
      <c r="BH59" s="2" t="str">
        <f t="shared" si="38"/>
        <v/>
      </c>
      <c r="BI59" s="2" t="str">
        <f t="shared" si="39"/>
        <v/>
      </c>
      <c r="BJ59" s="4">
        <f t="shared" si="40"/>
        <v>5</v>
      </c>
      <c r="BK59" s="1" t="str">
        <f t="shared" si="41"/>
        <v/>
      </c>
      <c r="BL59" s="23"/>
      <c r="BM59" s="23"/>
      <c r="BN59" s="23"/>
      <c r="BO59" s="4"/>
      <c r="BP59" s="24"/>
      <c r="BQ59" s="23"/>
      <c r="BR59" s="4"/>
      <c r="BS59" s="24"/>
      <c r="BT59" s="23"/>
      <c r="BU59" s="23"/>
      <c r="BV59" s="23"/>
      <c r="BW59" s="4"/>
      <c r="BX59" s="24"/>
      <c r="BY59" s="23"/>
      <c r="BZ59" s="4"/>
      <c r="CA59" s="2" t="str">
        <f t="shared" si="42"/>
        <v/>
      </c>
      <c r="CB59" s="2" t="str">
        <f t="shared" si="43"/>
        <v/>
      </c>
      <c r="CC59" s="4">
        <f t="shared" si="44"/>
        <v>5</v>
      </c>
      <c r="CD59" s="1" t="str">
        <f t="shared" si="45"/>
        <v/>
      </c>
      <c r="CE59" s="23"/>
      <c r="CF59" s="4"/>
      <c r="CG59" s="4"/>
      <c r="CH59" s="2" t="str">
        <f t="shared" si="46"/>
        <v/>
      </c>
      <c r="CI59" s="2" t="str">
        <f t="shared" si="47"/>
        <v/>
      </c>
    </row>
    <row r="60" spans="2:87" ht="21.75" customHeight="1">
      <c r="B60" s="38">
        <v>6</v>
      </c>
      <c r="C60" s="41"/>
      <c r="D60" s="45"/>
      <c r="E60" s="45"/>
      <c r="F60" s="45"/>
      <c r="G60" s="45"/>
      <c r="H60" s="45"/>
      <c r="I60" s="45"/>
      <c r="J60" s="45"/>
      <c r="K60" s="53"/>
      <c r="L60" s="53"/>
      <c r="M60" s="53"/>
      <c r="N60" s="45"/>
      <c r="O60" s="45"/>
      <c r="P60" s="30" t="s">
        <v>44</v>
      </c>
      <c r="Q60" s="32" t="str">
        <f>IF(ISBLANK(C55),"",COUNTIF(O55:O94,3))</f>
        <v/>
      </c>
      <c r="R60" s="4">
        <f t="shared" si="24"/>
        <v>6</v>
      </c>
      <c r="S60" s="1" t="str">
        <f t="shared" si="25"/>
        <v/>
      </c>
      <c r="T60" s="4"/>
      <c r="U60" s="4"/>
      <c r="V60" s="4"/>
      <c r="W60" s="4"/>
      <c r="X60" s="4"/>
      <c r="Y60" s="4"/>
      <c r="Z60" s="4"/>
      <c r="AA60" s="2" t="str">
        <f t="shared" si="26"/>
        <v/>
      </c>
      <c r="AB60" s="2" t="str">
        <f t="shared" si="27"/>
        <v/>
      </c>
      <c r="AC60" s="4">
        <f t="shared" si="28"/>
        <v>6</v>
      </c>
      <c r="AD60" s="1" t="str">
        <f t="shared" si="29"/>
        <v/>
      </c>
      <c r="AE60" s="4"/>
      <c r="AF60" s="4"/>
      <c r="AG60" s="4"/>
      <c r="AH60" s="4"/>
      <c r="AI60" s="4"/>
      <c r="AJ60" s="4"/>
      <c r="AK60" s="4"/>
      <c r="AL60" s="2" t="str">
        <f t="shared" si="30"/>
        <v/>
      </c>
      <c r="AM60" s="2" t="str">
        <f t="shared" si="31"/>
        <v/>
      </c>
      <c r="AN60" s="4">
        <f t="shared" si="32"/>
        <v>6</v>
      </c>
      <c r="AO60" s="1" t="str">
        <f t="shared" si="33"/>
        <v/>
      </c>
      <c r="AP60" s="4"/>
      <c r="AQ60" s="4"/>
      <c r="AR60" s="4"/>
      <c r="AS60" s="4"/>
      <c r="AT60" s="4"/>
      <c r="AU60" s="4"/>
      <c r="AV60" s="4"/>
      <c r="AW60" s="2" t="str">
        <f t="shared" si="34"/>
        <v/>
      </c>
      <c r="AX60" s="23" t="str">
        <f t="shared" si="35"/>
        <v/>
      </c>
      <c r="AY60" s="4">
        <f t="shared" si="36"/>
        <v>6</v>
      </c>
      <c r="AZ60" s="1" t="str">
        <f t="shared" si="37"/>
        <v/>
      </c>
      <c r="BA60" s="4"/>
      <c r="BB60" s="4"/>
      <c r="BC60" s="4"/>
      <c r="BD60" s="4"/>
      <c r="BE60" s="4"/>
      <c r="BF60" s="4"/>
      <c r="BG60" s="4"/>
      <c r="BH60" s="2" t="str">
        <f t="shared" si="38"/>
        <v/>
      </c>
      <c r="BI60" s="2" t="str">
        <f t="shared" si="39"/>
        <v/>
      </c>
      <c r="BJ60" s="4">
        <f t="shared" si="40"/>
        <v>6</v>
      </c>
      <c r="BK60" s="1" t="str">
        <f t="shared" si="41"/>
        <v/>
      </c>
      <c r="BL60" s="23"/>
      <c r="BM60" s="23"/>
      <c r="BN60" s="23"/>
      <c r="BO60" s="4"/>
      <c r="BP60" s="24"/>
      <c r="BQ60" s="23"/>
      <c r="BR60" s="4"/>
      <c r="BS60" s="24"/>
      <c r="BT60" s="23"/>
      <c r="BU60" s="23"/>
      <c r="BV60" s="23"/>
      <c r="BW60" s="4"/>
      <c r="BX60" s="24"/>
      <c r="BY60" s="23"/>
      <c r="BZ60" s="4"/>
      <c r="CA60" s="2" t="str">
        <f t="shared" si="42"/>
        <v/>
      </c>
      <c r="CB60" s="2" t="str">
        <f t="shared" si="43"/>
        <v/>
      </c>
      <c r="CC60" s="4">
        <f t="shared" si="44"/>
        <v>6</v>
      </c>
      <c r="CD60" s="1" t="str">
        <f t="shared" si="45"/>
        <v/>
      </c>
      <c r="CE60" s="23"/>
      <c r="CF60" s="4"/>
      <c r="CG60" s="4"/>
      <c r="CH60" s="2" t="str">
        <f t="shared" si="46"/>
        <v/>
      </c>
      <c r="CI60" s="2" t="str">
        <f t="shared" si="47"/>
        <v/>
      </c>
    </row>
    <row r="61" spans="2:87" ht="21.75" customHeight="1">
      <c r="B61" s="38">
        <v>7</v>
      </c>
      <c r="C61" s="41"/>
      <c r="D61" s="45"/>
      <c r="E61" s="45"/>
      <c r="F61" s="45"/>
      <c r="G61" s="45"/>
      <c r="H61" s="45"/>
      <c r="I61" s="45"/>
      <c r="J61" s="45"/>
      <c r="K61" s="53"/>
      <c r="L61" s="53"/>
      <c r="M61" s="53"/>
      <c r="N61" s="45"/>
      <c r="O61" s="45"/>
      <c r="P61" s="30" t="s">
        <v>45</v>
      </c>
      <c r="Q61" s="32" t="str">
        <f>IF(ISBLANK(C55),"",MAX(J55:J94))</f>
        <v/>
      </c>
      <c r="R61" s="4">
        <f t="shared" si="24"/>
        <v>7</v>
      </c>
      <c r="S61" s="1" t="str">
        <f t="shared" si="25"/>
        <v/>
      </c>
      <c r="T61" s="4"/>
      <c r="U61" s="4"/>
      <c r="V61" s="4"/>
      <c r="W61" s="4"/>
      <c r="X61" s="4"/>
      <c r="Y61" s="4"/>
      <c r="Z61" s="4"/>
      <c r="AA61" s="2" t="str">
        <f t="shared" si="26"/>
        <v/>
      </c>
      <c r="AB61" s="2" t="str">
        <f t="shared" si="27"/>
        <v/>
      </c>
      <c r="AC61" s="4">
        <f t="shared" si="28"/>
        <v>7</v>
      </c>
      <c r="AD61" s="1" t="str">
        <f t="shared" si="29"/>
        <v/>
      </c>
      <c r="AE61" s="4"/>
      <c r="AF61" s="4"/>
      <c r="AG61" s="4"/>
      <c r="AH61" s="4"/>
      <c r="AI61" s="4"/>
      <c r="AJ61" s="4"/>
      <c r="AK61" s="4"/>
      <c r="AL61" s="2" t="str">
        <f t="shared" si="30"/>
        <v/>
      </c>
      <c r="AM61" s="2" t="str">
        <f t="shared" si="31"/>
        <v/>
      </c>
      <c r="AN61" s="4">
        <f t="shared" si="32"/>
        <v>7</v>
      </c>
      <c r="AO61" s="1" t="str">
        <f t="shared" si="33"/>
        <v/>
      </c>
      <c r="AP61" s="4"/>
      <c r="AQ61" s="4"/>
      <c r="AR61" s="4"/>
      <c r="AS61" s="4"/>
      <c r="AT61" s="4"/>
      <c r="AU61" s="4"/>
      <c r="AV61" s="4"/>
      <c r="AW61" s="2" t="str">
        <f t="shared" si="34"/>
        <v/>
      </c>
      <c r="AX61" s="23" t="str">
        <f t="shared" si="35"/>
        <v/>
      </c>
      <c r="AY61" s="4">
        <f t="shared" si="36"/>
        <v>7</v>
      </c>
      <c r="AZ61" s="1" t="str">
        <f t="shared" si="37"/>
        <v/>
      </c>
      <c r="BA61" s="4"/>
      <c r="BB61" s="4"/>
      <c r="BC61" s="4"/>
      <c r="BD61" s="4"/>
      <c r="BE61" s="4"/>
      <c r="BF61" s="4"/>
      <c r="BG61" s="4"/>
      <c r="BH61" s="2" t="str">
        <f t="shared" si="38"/>
        <v/>
      </c>
      <c r="BI61" s="2" t="str">
        <f t="shared" si="39"/>
        <v/>
      </c>
      <c r="BJ61" s="4">
        <f t="shared" si="40"/>
        <v>7</v>
      </c>
      <c r="BK61" s="1" t="str">
        <f t="shared" si="41"/>
        <v/>
      </c>
      <c r="BL61" s="23"/>
      <c r="BM61" s="23"/>
      <c r="BN61" s="23"/>
      <c r="BO61" s="4"/>
      <c r="BP61" s="24"/>
      <c r="BQ61" s="23"/>
      <c r="BR61" s="4"/>
      <c r="BS61" s="24"/>
      <c r="BT61" s="23"/>
      <c r="BU61" s="23"/>
      <c r="BV61" s="23"/>
      <c r="BW61" s="4"/>
      <c r="BX61" s="24"/>
      <c r="BY61" s="23"/>
      <c r="BZ61" s="4"/>
      <c r="CA61" s="2" t="str">
        <f t="shared" si="42"/>
        <v/>
      </c>
      <c r="CB61" s="2" t="str">
        <f t="shared" si="43"/>
        <v/>
      </c>
      <c r="CC61" s="4">
        <f t="shared" si="44"/>
        <v>7</v>
      </c>
      <c r="CD61" s="1" t="str">
        <f t="shared" si="45"/>
        <v/>
      </c>
      <c r="CE61" s="23"/>
      <c r="CF61" s="4"/>
      <c r="CG61" s="4"/>
      <c r="CH61" s="2" t="str">
        <f t="shared" si="46"/>
        <v/>
      </c>
      <c r="CI61" s="2" t="str">
        <f t="shared" si="47"/>
        <v/>
      </c>
    </row>
    <row r="62" spans="2:87" ht="21.75" customHeight="1" thickBot="1">
      <c r="B62" s="38">
        <v>8</v>
      </c>
      <c r="C62" s="41"/>
      <c r="D62" s="45"/>
      <c r="E62" s="45"/>
      <c r="F62" s="45"/>
      <c r="G62" s="45"/>
      <c r="H62" s="45"/>
      <c r="I62" s="45"/>
      <c r="J62" s="45"/>
      <c r="K62" s="53"/>
      <c r="L62" s="53"/>
      <c r="M62" s="53"/>
      <c r="N62" s="45"/>
      <c r="O62" s="45"/>
      <c r="P62" s="31" t="s">
        <v>46</v>
      </c>
      <c r="Q62" s="34" t="str">
        <f>IF(ISBLANK(C55),"",MIN(J55:J94))</f>
        <v/>
      </c>
      <c r="R62" s="4">
        <f t="shared" si="24"/>
        <v>8</v>
      </c>
      <c r="S62" s="1" t="str">
        <f t="shared" si="25"/>
        <v/>
      </c>
      <c r="T62" s="4"/>
      <c r="U62" s="4"/>
      <c r="V62" s="4"/>
      <c r="W62" s="4"/>
      <c r="X62" s="4"/>
      <c r="Y62" s="4"/>
      <c r="Z62" s="4"/>
      <c r="AA62" s="2" t="str">
        <f t="shared" si="26"/>
        <v/>
      </c>
      <c r="AB62" s="2" t="str">
        <f t="shared" si="27"/>
        <v/>
      </c>
      <c r="AC62" s="4">
        <f t="shared" si="28"/>
        <v>8</v>
      </c>
      <c r="AD62" s="1" t="str">
        <f t="shared" si="29"/>
        <v/>
      </c>
      <c r="AE62" s="4"/>
      <c r="AF62" s="4"/>
      <c r="AG62" s="4"/>
      <c r="AH62" s="4"/>
      <c r="AI62" s="4"/>
      <c r="AJ62" s="4"/>
      <c r="AK62" s="4"/>
      <c r="AL62" s="2" t="str">
        <f t="shared" si="30"/>
        <v/>
      </c>
      <c r="AM62" s="2" t="str">
        <f t="shared" si="31"/>
        <v/>
      </c>
      <c r="AN62" s="4">
        <f t="shared" si="32"/>
        <v>8</v>
      </c>
      <c r="AO62" s="1" t="str">
        <f t="shared" si="33"/>
        <v/>
      </c>
      <c r="AP62" s="4"/>
      <c r="AQ62" s="4"/>
      <c r="AR62" s="4"/>
      <c r="AS62" s="4"/>
      <c r="AT62" s="4"/>
      <c r="AU62" s="4"/>
      <c r="AV62" s="4"/>
      <c r="AW62" s="2" t="str">
        <f t="shared" si="34"/>
        <v/>
      </c>
      <c r="AX62" s="23" t="str">
        <f t="shared" si="35"/>
        <v/>
      </c>
      <c r="AY62" s="4">
        <f t="shared" si="36"/>
        <v>8</v>
      </c>
      <c r="AZ62" s="1" t="str">
        <f t="shared" si="37"/>
        <v/>
      </c>
      <c r="BA62" s="4"/>
      <c r="BB62" s="4"/>
      <c r="BC62" s="4"/>
      <c r="BD62" s="4"/>
      <c r="BE62" s="4"/>
      <c r="BF62" s="4"/>
      <c r="BG62" s="4"/>
      <c r="BH62" s="2" t="str">
        <f t="shared" si="38"/>
        <v/>
      </c>
      <c r="BI62" s="2" t="str">
        <f t="shared" si="39"/>
        <v/>
      </c>
      <c r="BJ62" s="4">
        <f t="shared" si="40"/>
        <v>8</v>
      </c>
      <c r="BK62" s="1" t="str">
        <f t="shared" si="41"/>
        <v/>
      </c>
      <c r="BL62" s="23"/>
      <c r="BM62" s="23"/>
      <c r="BN62" s="23"/>
      <c r="BO62" s="4"/>
      <c r="BP62" s="24"/>
      <c r="BQ62" s="23"/>
      <c r="BR62" s="4"/>
      <c r="BS62" s="24"/>
      <c r="BT62" s="23"/>
      <c r="BU62" s="23"/>
      <c r="BV62" s="23"/>
      <c r="BW62" s="4"/>
      <c r="BX62" s="24"/>
      <c r="BY62" s="23"/>
      <c r="BZ62" s="4"/>
      <c r="CA62" s="2" t="str">
        <f t="shared" si="42"/>
        <v/>
      </c>
      <c r="CB62" s="2" t="str">
        <f t="shared" si="43"/>
        <v/>
      </c>
      <c r="CC62" s="4">
        <f t="shared" si="44"/>
        <v>8</v>
      </c>
      <c r="CD62" s="1" t="str">
        <f t="shared" si="45"/>
        <v/>
      </c>
      <c r="CE62" s="23"/>
      <c r="CF62" s="4"/>
      <c r="CG62" s="4"/>
      <c r="CH62" s="2" t="str">
        <f t="shared" si="46"/>
        <v/>
      </c>
      <c r="CI62" s="2" t="str">
        <f t="shared" si="47"/>
        <v/>
      </c>
    </row>
    <row r="63" spans="2:87" ht="21.75" customHeight="1">
      <c r="B63" s="38">
        <v>9</v>
      </c>
      <c r="C63" s="41"/>
      <c r="D63" s="45"/>
      <c r="E63" s="45"/>
      <c r="F63" s="45"/>
      <c r="G63" s="45"/>
      <c r="H63" s="45"/>
      <c r="I63" s="45"/>
      <c r="J63" s="45"/>
      <c r="K63" s="53"/>
      <c r="L63" s="53"/>
      <c r="M63" s="53"/>
      <c r="N63" s="45"/>
      <c r="O63" s="45"/>
      <c r="R63" s="4">
        <f t="shared" si="24"/>
        <v>9</v>
      </c>
      <c r="S63" s="1" t="str">
        <f t="shared" si="25"/>
        <v/>
      </c>
      <c r="T63" s="4"/>
      <c r="U63" s="4"/>
      <c r="V63" s="4"/>
      <c r="W63" s="4"/>
      <c r="X63" s="4"/>
      <c r="Y63" s="4"/>
      <c r="Z63" s="4"/>
      <c r="AA63" s="2" t="str">
        <f t="shared" si="26"/>
        <v/>
      </c>
      <c r="AB63" s="2" t="str">
        <f t="shared" si="27"/>
        <v/>
      </c>
      <c r="AC63" s="4">
        <f t="shared" si="28"/>
        <v>9</v>
      </c>
      <c r="AD63" s="1" t="str">
        <f t="shared" si="29"/>
        <v/>
      </c>
      <c r="AE63" s="4"/>
      <c r="AF63" s="4"/>
      <c r="AG63" s="4"/>
      <c r="AH63" s="4"/>
      <c r="AI63" s="4"/>
      <c r="AJ63" s="4"/>
      <c r="AK63" s="4"/>
      <c r="AL63" s="2" t="str">
        <f t="shared" si="30"/>
        <v/>
      </c>
      <c r="AM63" s="2" t="str">
        <f t="shared" si="31"/>
        <v/>
      </c>
      <c r="AN63" s="4">
        <f t="shared" si="32"/>
        <v>9</v>
      </c>
      <c r="AO63" s="1" t="str">
        <f t="shared" si="33"/>
        <v/>
      </c>
      <c r="AP63" s="4"/>
      <c r="AQ63" s="4"/>
      <c r="AR63" s="4"/>
      <c r="AS63" s="4"/>
      <c r="AT63" s="4"/>
      <c r="AU63" s="4"/>
      <c r="AV63" s="4"/>
      <c r="AW63" s="2" t="str">
        <f t="shared" si="34"/>
        <v/>
      </c>
      <c r="AX63" s="23" t="str">
        <f t="shared" si="35"/>
        <v/>
      </c>
      <c r="AY63" s="4">
        <f t="shared" si="36"/>
        <v>9</v>
      </c>
      <c r="AZ63" s="1" t="str">
        <f t="shared" si="37"/>
        <v/>
      </c>
      <c r="BA63" s="4"/>
      <c r="BB63" s="4"/>
      <c r="BC63" s="4"/>
      <c r="BD63" s="4"/>
      <c r="BE63" s="4"/>
      <c r="BF63" s="4"/>
      <c r="BG63" s="4"/>
      <c r="BH63" s="2" t="str">
        <f t="shared" si="38"/>
        <v/>
      </c>
      <c r="BI63" s="2" t="str">
        <f t="shared" si="39"/>
        <v/>
      </c>
      <c r="BJ63" s="4">
        <f t="shared" si="40"/>
        <v>9</v>
      </c>
      <c r="BK63" s="1" t="str">
        <f t="shared" si="41"/>
        <v/>
      </c>
      <c r="BL63" s="23"/>
      <c r="BM63" s="23"/>
      <c r="BN63" s="23"/>
      <c r="BO63" s="4"/>
      <c r="BP63" s="4"/>
      <c r="BQ63" s="23"/>
      <c r="BR63" s="4"/>
      <c r="BS63" s="4"/>
      <c r="BT63" s="23"/>
      <c r="BU63" s="23"/>
      <c r="BV63" s="23"/>
      <c r="BW63" s="4"/>
      <c r="BX63" s="4"/>
      <c r="BY63" s="23"/>
      <c r="BZ63" s="4"/>
      <c r="CA63" s="2" t="str">
        <f t="shared" si="42"/>
        <v/>
      </c>
      <c r="CB63" s="2" t="str">
        <f t="shared" si="43"/>
        <v/>
      </c>
      <c r="CC63" s="4">
        <f t="shared" si="44"/>
        <v>9</v>
      </c>
      <c r="CD63" s="1" t="str">
        <f t="shared" si="45"/>
        <v/>
      </c>
      <c r="CE63" s="23"/>
      <c r="CF63" s="4"/>
      <c r="CG63" s="4"/>
      <c r="CH63" s="2" t="str">
        <f t="shared" si="46"/>
        <v/>
      </c>
      <c r="CI63" s="2" t="str">
        <f t="shared" si="47"/>
        <v/>
      </c>
    </row>
    <row r="64" spans="2:87" ht="21.75" customHeight="1">
      <c r="B64" s="38">
        <v>10</v>
      </c>
      <c r="C64" s="41"/>
      <c r="D64" s="45"/>
      <c r="E64" s="45"/>
      <c r="F64" s="45"/>
      <c r="G64" s="45"/>
      <c r="H64" s="45"/>
      <c r="I64" s="45"/>
      <c r="J64" s="45"/>
      <c r="K64" s="53"/>
      <c r="L64" s="53"/>
      <c r="M64" s="53"/>
      <c r="N64" s="45"/>
      <c r="O64" s="45"/>
      <c r="R64" s="4">
        <f t="shared" si="24"/>
        <v>10</v>
      </c>
      <c r="S64" s="1" t="str">
        <f t="shared" si="25"/>
        <v/>
      </c>
      <c r="T64" s="4"/>
      <c r="U64" s="4"/>
      <c r="V64" s="4"/>
      <c r="W64" s="4"/>
      <c r="X64" s="4"/>
      <c r="Y64" s="4"/>
      <c r="Z64" s="4"/>
      <c r="AA64" s="2" t="str">
        <f t="shared" si="26"/>
        <v/>
      </c>
      <c r="AB64" s="2" t="str">
        <f t="shared" si="27"/>
        <v/>
      </c>
      <c r="AC64" s="4">
        <f t="shared" si="28"/>
        <v>10</v>
      </c>
      <c r="AD64" s="1" t="str">
        <f t="shared" si="29"/>
        <v/>
      </c>
      <c r="AE64" s="4"/>
      <c r="AF64" s="4"/>
      <c r="AG64" s="4"/>
      <c r="AH64" s="4"/>
      <c r="AI64" s="4"/>
      <c r="AJ64" s="4"/>
      <c r="AK64" s="4"/>
      <c r="AL64" s="2" t="str">
        <f t="shared" si="30"/>
        <v/>
      </c>
      <c r="AM64" s="2" t="str">
        <f t="shared" si="31"/>
        <v/>
      </c>
      <c r="AN64" s="4">
        <f t="shared" si="32"/>
        <v>10</v>
      </c>
      <c r="AO64" s="1" t="str">
        <f t="shared" si="33"/>
        <v/>
      </c>
      <c r="AP64" s="4"/>
      <c r="AQ64" s="4"/>
      <c r="AR64" s="4"/>
      <c r="AS64" s="4"/>
      <c r="AT64" s="4"/>
      <c r="AU64" s="4"/>
      <c r="AV64" s="4"/>
      <c r="AW64" s="2" t="str">
        <f t="shared" si="34"/>
        <v/>
      </c>
      <c r="AX64" s="23" t="str">
        <f t="shared" si="35"/>
        <v/>
      </c>
      <c r="AY64" s="4">
        <f t="shared" si="36"/>
        <v>10</v>
      </c>
      <c r="AZ64" s="1" t="str">
        <f t="shared" si="37"/>
        <v/>
      </c>
      <c r="BA64" s="4"/>
      <c r="BB64" s="4"/>
      <c r="BC64" s="4"/>
      <c r="BD64" s="4"/>
      <c r="BE64" s="4"/>
      <c r="BF64" s="4"/>
      <c r="BG64" s="4"/>
      <c r="BH64" s="2" t="str">
        <f t="shared" si="38"/>
        <v/>
      </c>
      <c r="BI64" s="2" t="str">
        <f t="shared" si="39"/>
        <v/>
      </c>
      <c r="BJ64" s="4">
        <f t="shared" si="40"/>
        <v>10</v>
      </c>
      <c r="BK64" s="1" t="str">
        <f t="shared" si="41"/>
        <v/>
      </c>
      <c r="BL64" s="23"/>
      <c r="BM64" s="23"/>
      <c r="BN64" s="23"/>
      <c r="BO64" s="4"/>
      <c r="BP64" s="4"/>
      <c r="BQ64" s="23"/>
      <c r="BR64" s="4"/>
      <c r="BS64" s="4"/>
      <c r="BT64" s="23"/>
      <c r="BU64" s="23"/>
      <c r="BV64" s="23"/>
      <c r="BW64" s="4"/>
      <c r="BX64" s="4"/>
      <c r="BY64" s="23"/>
      <c r="BZ64" s="4"/>
      <c r="CA64" s="2" t="str">
        <f t="shared" si="42"/>
        <v/>
      </c>
      <c r="CB64" s="2" t="str">
        <f t="shared" si="43"/>
        <v/>
      </c>
      <c r="CC64" s="4">
        <f t="shared" si="44"/>
        <v>10</v>
      </c>
      <c r="CD64" s="1" t="str">
        <f t="shared" si="45"/>
        <v/>
      </c>
      <c r="CE64" s="23"/>
      <c r="CF64" s="4"/>
      <c r="CG64" s="4"/>
      <c r="CH64" s="2" t="str">
        <f t="shared" si="46"/>
        <v/>
      </c>
      <c r="CI64" s="2" t="str">
        <f t="shared" si="47"/>
        <v/>
      </c>
    </row>
    <row r="65" spans="2:87" ht="21.75" customHeight="1">
      <c r="B65" s="38">
        <v>11</v>
      </c>
      <c r="C65" s="41"/>
      <c r="D65" s="45"/>
      <c r="E65" s="45"/>
      <c r="F65" s="45"/>
      <c r="G65" s="45"/>
      <c r="H65" s="45"/>
      <c r="I65" s="45"/>
      <c r="J65" s="45"/>
      <c r="K65" s="53"/>
      <c r="L65" s="53"/>
      <c r="M65" s="53"/>
      <c r="N65" s="45"/>
      <c r="O65" s="45"/>
      <c r="R65" s="4">
        <f t="shared" si="24"/>
        <v>11</v>
      </c>
      <c r="S65" s="1" t="str">
        <f t="shared" si="25"/>
        <v/>
      </c>
      <c r="T65" s="4"/>
      <c r="U65" s="4"/>
      <c r="V65" s="4"/>
      <c r="W65" s="4"/>
      <c r="X65" s="4"/>
      <c r="Y65" s="4"/>
      <c r="Z65" s="4"/>
      <c r="AA65" s="2" t="str">
        <f t="shared" si="26"/>
        <v/>
      </c>
      <c r="AB65" s="2" t="str">
        <f t="shared" si="27"/>
        <v/>
      </c>
      <c r="AC65" s="4">
        <f t="shared" si="28"/>
        <v>11</v>
      </c>
      <c r="AD65" s="1" t="str">
        <f t="shared" si="29"/>
        <v/>
      </c>
      <c r="AE65" s="4"/>
      <c r="AF65" s="4"/>
      <c r="AG65" s="4"/>
      <c r="AH65" s="4"/>
      <c r="AI65" s="4"/>
      <c r="AJ65" s="4"/>
      <c r="AK65" s="4"/>
      <c r="AL65" s="2" t="str">
        <f t="shared" si="30"/>
        <v/>
      </c>
      <c r="AM65" s="2" t="str">
        <f t="shared" si="31"/>
        <v/>
      </c>
      <c r="AN65" s="4">
        <f t="shared" si="32"/>
        <v>11</v>
      </c>
      <c r="AO65" s="1" t="str">
        <f t="shared" si="33"/>
        <v/>
      </c>
      <c r="AP65" s="4"/>
      <c r="AQ65" s="4"/>
      <c r="AR65" s="4"/>
      <c r="AS65" s="4"/>
      <c r="AT65" s="4"/>
      <c r="AU65" s="4"/>
      <c r="AV65" s="4"/>
      <c r="AW65" s="2" t="str">
        <f t="shared" si="34"/>
        <v/>
      </c>
      <c r="AX65" s="23" t="str">
        <f t="shared" si="35"/>
        <v/>
      </c>
      <c r="AY65" s="4">
        <f t="shared" si="36"/>
        <v>11</v>
      </c>
      <c r="AZ65" s="1" t="str">
        <f t="shared" si="37"/>
        <v/>
      </c>
      <c r="BA65" s="4"/>
      <c r="BB65" s="4"/>
      <c r="BC65" s="4"/>
      <c r="BD65" s="4"/>
      <c r="BE65" s="4"/>
      <c r="BF65" s="4"/>
      <c r="BG65" s="4"/>
      <c r="BH65" s="2" t="str">
        <f t="shared" si="38"/>
        <v/>
      </c>
      <c r="BI65" s="2" t="str">
        <f t="shared" si="39"/>
        <v/>
      </c>
      <c r="BJ65" s="4">
        <f t="shared" si="40"/>
        <v>11</v>
      </c>
      <c r="BK65" s="1" t="str">
        <f t="shared" si="41"/>
        <v/>
      </c>
      <c r="BL65" s="23"/>
      <c r="BM65" s="23"/>
      <c r="BN65" s="23"/>
      <c r="BO65" s="4"/>
      <c r="BP65" s="4"/>
      <c r="BQ65" s="23"/>
      <c r="BR65" s="4"/>
      <c r="BS65" s="4"/>
      <c r="BT65" s="23"/>
      <c r="BU65" s="23"/>
      <c r="BV65" s="23"/>
      <c r="BW65" s="4"/>
      <c r="BX65" s="4"/>
      <c r="BY65" s="23"/>
      <c r="BZ65" s="4"/>
      <c r="CA65" s="2" t="str">
        <f t="shared" si="42"/>
        <v/>
      </c>
      <c r="CB65" s="2" t="str">
        <f t="shared" si="43"/>
        <v/>
      </c>
      <c r="CC65" s="4">
        <f t="shared" si="44"/>
        <v>11</v>
      </c>
      <c r="CD65" s="1" t="str">
        <f t="shared" si="45"/>
        <v/>
      </c>
      <c r="CE65" s="23"/>
      <c r="CF65" s="4"/>
      <c r="CG65" s="4"/>
      <c r="CH65" s="2" t="str">
        <f t="shared" si="46"/>
        <v/>
      </c>
      <c r="CI65" s="2" t="str">
        <f t="shared" si="47"/>
        <v/>
      </c>
    </row>
    <row r="66" spans="2:87" ht="21.75" customHeight="1">
      <c r="B66" s="38">
        <v>12</v>
      </c>
      <c r="C66" s="41"/>
      <c r="D66" s="45"/>
      <c r="E66" s="45"/>
      <c r="F66" s="45"/>
      <c r="G66" s="45"/>
      <c r="H66" s="45"/>
      <c r="I66" s="45"/>
      <c r="J66" s="45"/>
      <c r="K66" s="53"/>
      <c r="L66" s="53"/>
      <c r="M66" s="53"/>
      <c r="N66" s="45"/>
      <c r="O66" s="45"/>
      <c r="R66" s="4">
        <f t="shared" si="24"/>
        <v>12</v>
      </c>
      <c r="S66" s="1" t="str">
        <f t="shared" si="25"/>
        <v/>
      </c>
      <c r="T66" s="4"/>
      <c r="U66" s="4"/>
      <c r="V66" s="4"/>
      <c r="W66" s="4"/>
      <c r="X66" s="4"/>
      <c r="Y66" s="4"/>
      <c r="Z66" s="4"/>
      <c r="AA66" s="2" t="str">
        <f t="shared" si="26"/>
        <v/>
      </c>
      <c r="AB66" s="2" t="str">
        <f t="shared" si="27"/>
        <v/>
      </c>
      <c r="AC66" s="4">
        <f t="shared" si="28"/>
        <v>12</v>
      </c>
      <c r="AD66" s="1" t="str">
        <f t="shared" si="29"/>
        <v/>
      </c>
      <c r="AE66" s="4"/>
      <c r="AF66" s="4"/>
      <c r="AG66" s="4"/>
      <c r="AH66" s="4"/>
      <c r="AI66" s="4"/>
      <c r="AJ66" s="4"/>
      <c r="AK66" s="4"/>
      <c r="AL66" s="2" t="str">
        <f t="shared" si="30"/>
        <v/>
      </c>
      <c r="AM66" s="2" t="str">
        <f t="shared" si="31"/>
        <v/>
      </c>
      <c r="AN66" s="4">
        <f t="shared" si="32"/>
        <v>12</v>
      </c>
      <c r="AO66" s="1" t="str">
        <f t="shared" si="33"/>
        <v/>
      </c>
      <c r="AP66" s="4"/>
      <c r="AQ66" s="4"/>
      <c r="AR66" s="4"/>
      <c r="AS66" s="4"/>
      <c r="AT66" s="4"/>
      <c r="AU66" s="4"/>
      <c r="AV66" s="4"/>
      <c r="AW66" s="2" t="str">
        <f t="shared" si="34"/>
        <v/>
      </c>
      <c r="AX66" s="23" t="str">
        <f t="shared" si="35"/>
        <v/>
      </c>
      <c r="AY66" s="4">
        <f t="shared" si="36"/>
        <v>12</v>
      </c>
      <c r="AZ66" s="1" t="str">
        <f t="shared" si="37"/>
        <v/>
      </c>
      <c r="BA66" s="4"/>
      <c r="BB66" s="4"/>
      <c r="BC66" s="4"/>
      <c r="BD66" s="4"/>
      <c r="BE66" s="4"/>
      <c r="BF66" s="4"/>
      <c r="BG66" s="4"/>
      <c r="BH66" s="2" t="str">
        <f t="shared" si="38"/>
        <v/>
      </c>
      <c r="BI66" s="2" t="str">
        <f t="shared" si="39"/>
        <v/>
      </c>
      <c r="BJ66" s="4">
        <f t="shared" si="40"/>
        <v>12</v>
      </c>
      <c r="BK66" s="1" t="str">
        <f t="shared" si="41"/>
        <v/>
      </c>
      <c r="BL66" s="23"/>
      <c r="BM66" s="23"/>
      <c r="BN66" s="23"/>
      <c r="BO66" s="4"/>
      <c r="BP66" s="4"/>
      <c r="BQ66" s="23"/>
      <c r="BR66" s="4"/>
      <c r="BS66" s="4"/>
      <c r="BT66" s="23"/>
      <c r="BU66" s="23"/>
      <c r="BV66" s="23"/>
      <c r="BW66" s="4"/>
      <c r="BX66" s="4"/>
      <c r="BY66" s="23"/>
      <c r="BZ66" s="4"/>
      <c r="CA66" s="2" t="str">
        <f t="shared" si="42"/>
        <v/>
      </c>
      <c r="CB66" s="2" t="str">
        <f t="shared" si="43"/>
        <v/>
      </c>
      <c r="CC66" s="4">
        <f t="shared" si="44"/>
        <v>12</v>
      </c>
      <c r="CD66" s="1" t="str">
        <f t="shared" si="45"/>
        <v/>
      </c>
      <c r="CE66" s="23"/>
      <c r="CF66" s="4"/>
      <c r="CG66" s="4"/>
      <c r="CH66" s="2" t="str">
        <f t="shared" si="46"/>
        <v/>
      </c>
      <c r="CI66" s="2" t="str">
        <f t="shared" si="47"/>
        <v/>
      </c>
    </row>
    <row r="67" spans="2:87" ht="21.75" customHeight="1">
      <c r="B67" s="38">
        <v>13</v>
      </c>
      <c r="C67" s="41"/>
      <c r="D67" s="45"/>
      <c r="E67" s="45"/>
      <c r="F67" s="45"/>
      <c r="G67" s="45"/>
      <c r="H67" s="45"/>
      <c r="I67" s="45"/>
      <c r="J67" s="45"/>
      <c r="K67" s="53"/>
      <c r="L67" s="53"/>
      <c r="M67" s="53"/>
      <c r="N67" s="45"/>
      <c r="O67" s="45"/>
      <c r="R67" s="4">
        <f t="shared" si="24"/>
        <v>13</v>
      </c>
      <c r="S67" s="1" t="str">
        <f t="shared" si="25"/>
        <v/>
      </c>
      <c r="T67" s="4"/>
      <c r="U67" s="4"/>
      <c r="V67" s="4"/>
      <c r="W67" s="4"/>
      <c r="X67" s="4"/>
      <c r="Y67" s="4"/>
      <c r="Z67" s="4"/>
      <c r="AA67" s="2" t="str">
        <f t="shared" si="26"/>
        <v/>
      </c>
      <c r="AB67" s="2" t="str">
        <f t="shared" si="27"/>
        <v/>
      </c>
      <c r="AC67" s="4">
        <f t="shared" si="28"/>
        <v>13</v>
      </c>
      <c r="AD67" s="1" t="str">
        <f t="shared" si="29"/>
        <v/>
      </c>
      <c r="AE67" s="4"/>
      <c r="AF67" s="4"/>
      <c r="AG67" s="4"/>
      <c r="AH67" s="4"/>
      <c r="AI67" s="4"/>
      <c r="AJ67" s="4"/>
      <c r="AK67" s="4"/>
      <c r="AL67" s="2" t="str">
        <f t="shared" si="30"/>
        <v/>
      </c>
      <c r="AM67" s="2" t="str">
        <f t="shared" si="31"/>
        <v/>
      </c>
      <c r="AN67" s="4">
        <f t="shared" si="32"/>
        <v>13</v>
      </c>
      <c r="AO67" s="1" t="str">
        <f t="shared" si="33"/>
        <v/>
      </c>
      <c r="AP67" s="4"/>
      <c r="AQ67" s="4"/>
      <c r="AR67" s="4"/>
      <c r="AS67" s="4"/>
      <c r="AT67" s="4"/>
      <c r="AU67" s="4"/>
      <c r="AV67" s="4"/>
      <c r="AW67" s="2" t="str">
        <f t="shared" si="34"/>
        <v/>
      </c>
      <c r="AX67" s="23" t="str">
        <f t="shared" si="35"/>
        <v/>
      </c>
      <c r="AY67" s="4">
        <f t="shared" si="36"/>
        <v>13</v>
      </c>
      <c r="AZ67" s="1" t="str">
        <f t="shared" si="37"/>
        <v/>
      </c>
      <c r="BA67" s="4"/>
      <c r="BB67" s="4"/>
      <c r="BC67" s="4"/>
      <c r="BD67" s="4"/>
      <c r="BE67" s="4"/>
      <c r="BF67" s="4"/>
      <c r="BG67" s="4"/>
      <c r="BH67" s="2" t="str">
        <f t="shared" si="38"/>
        <v/>
      </c>
      <c r="BI67" s="2" t="str">
        <f t="shared" si="39"/>
        <v/>
      </c>
      <c r="BJ67" s="4">
        <f t="shared" si="40"/>
        <v>13</v>
      </c>
      <c r="BK67" s="1" t="str">
        <f t="shared" si="41"/>
        <v/>
      </c>
      <c r="BL67" s="23"/>
      <c r="BM67" s="23"/>
      <c r="BN67" s="23"/>
      <c r="BO67" s="4"/>
      <c r="BP67" s="4"/>
      <c r="BQ67" s="23"/>
      <c r="BR67" s="4"/>
      <c r="BS67" s="4"/>
      <c r="BT67" s="23"/>
      <c r="BU67" s="23"/>
      <c r="BV67" s="23"/>
      <c r="BW67" s="4"/>
      <c r="BX67" s="4"/>
      <c r="BY67" s="23"/>
      <c r="BZ67" s="4"/>
      <c r="CA67" s="2" t="str">
        <f t="shared" si="42"/>
        <v/>
      </c>
      <c r="CB67" s="2" t="str">
        <f t="shared" si="43"/>
        <v/>
      </c>
      <c r="CC67" s="4">
        <f t="shared" si="44"/>
        <v>13</v>
      </c>
      <c r="CD67" s="1" t="str">
        <f t="shared" si="45"/>
        <v/>
      </c>
      <c r="CE67" s="23"/>
      <c r="CF67" s="4"/>
      <c r="CG67" s="4"/>
      <c r="CH67" s="2" t="str">
        <f t="shared" si="46"/>
        <v/>
      </c>
      <c r="CI67" s="2" t="str">
        <f t="shared" si="47"/>
        <v/>
      </c>
    </row>
    <row r="68" spans="2:87" ht="21.75" customHeight="1">
      <c r="B68" s="38">
        <v>14</v>
      </c>
      <c r="C68" s="41"/>
      <c r="D68" s="45"/>
      <c r="E68" s="45"/>
      <c r="F68" s="45"/>
      <c r="G68" s="45"/>
      <c r="H68" s="45"/>
      <c r="I68" s="45"/>
      <c r="J68" s="45"/>
      <c r="K68" s="53"/>
      <c r="L68" s="53"/>
      <c r="M68" s="53"/>
      <c r="N68" s="45"/>
      <c r="O68" s="45"/>
      <c r="R68" s="4">
        <f t="shared" si="24"/>
        <v>14</v>
      </c>
      <c r="S68" s="1" t="str">
        <f t="shared" si="25"/>
        <v/>
      </c>
      <c r="T68" s="4"/>
      <c r="U68" s="4"/>
      <c r="V68" s="4"/>
      <c r="W68" s="4"/>
      <c r="X68" s="4"/>
      <c r="Y68" s="4"/>
      <c r="Z68" s="4"/>
      <c r="AA68" s="2" t="str">
        <f t="shared" si="26"/>
        <v/>
      </c>
      <c r="AB68" s="2" t="str">
        <f t="shared" si="27"/>
        <v/>
      </c>
      <c r="AC68" s="4">
        <f t="shared" si="28"/>
        <v>14</v>
      </c>
      <c r="AD68" s="1" t="str">
        <f t="shared" si="29"/>
        <v/>
      </c>
      <c r="AE68" s="4"/>
      <c r="AF68" s="4"/>
      <c r="AG68" s="4"/>
      <c r="AH68" s="4"/>
      <c r="AI68" s="4"/>
      <c r="AJ68" s="4"/>
      <c r="AK68" s="4"/>
      <c r="AL68" s="2" t="str">
        <f t="shared" si="30"/>
        <v/>
      </c>
      <c r="AM68" s="2" t="str">
        <f t="shared" si="31"/>
        <v/>
      </c>
      <c r="AN68" s="4">
        <f t="shared" si="32"/>
        <v>14</v>
      </c>
      <c r="AO68" s="1" t="str">
        <f t="shared" si="33"/>
        <v/>
      </c>
      <c r="AP68" s="4"/>
      <c r="AQ68" s="4"/>
      <c r="AR68" s="4"/>
      <c r="AS68" s="4"/>
      <c r="AT68" s="4"/>
      <c r="AU68" s="4"/>
      <c r="AV68" s="4"/>
      <c r="AW68" s="2" t="str">
        <f t="shared" si="34"/>
        <v/>
      </c>
      <c r="AX68" s="23" t="str">
        <f t="shared" si="35"/>
        <v/>
      </c>
      <c r="AY68" s="4">
        <f t="shared" si="36"/>
        <v>14</v>
      </c>
      <c r="AZ68" s="1" t="str">
        <f t="shared" si="37"/>
        <v/>
      </c>
      <c r="BA68" s="4"/>
      <c r="BB68" s="4"/>
      <c r="BC68" s="4"/>
      <c r="BD68" s="4"/>
      <c r="BE68" s="4"/>
      <c r="BF68" s="4"/>
      <c r="BG68" s="4"/>
      <c r="BH68" s="2" t="str">
        <f t="shared" si="38"/>
        <v/>
      </c>
      <c r="BI68" s="2" t="str">
        <f t="shared" si="39"/>
        <v/>
      </c>
      <c r="BJ68" s="4">
        <f t="shared" si="40"/>
        <v>14</v>
      </c>
      <c r="BK68" s="1" t="str">
        <f t="shared" si="41"/>
        <v/>
      </c>
      <c r="BL68" s="23"/>
      <c r="BM68" s="23"/>
      <c r="BN68" s="23"/>
      <c r="BO68" s="4"/>
      <c r="BP68" s="4"/>
      <c r="BQ68" s="23"/>
      <c r="BR68" s="4"/>
      <c r="BS68" s="4"/>
      <c r="BT68" s="23"/>
      <c r="BU68" s="23"/>
      <c r="BV68" s="23"/>
      <c r="BW68" s="4"/>
      <c r="BX68" s="4"/>
      <c r="BY68" s="23"/>
      <c r="BZ68" s="4"/>
      <c r="CA68" s="2" t="str">
        <f t="shared" si="42"/>
        <v/>
      </c>
      <c r="CB68" s="2" t="str">
        <f t="shared" si="43"/>
        <v/>
      </c>
      <c r="CC68" s="4">
        <f t="shared" si="44"/>
        <v>14</v>
      </c>
      <c r="CD68" s="1" t="str">
        <f t="shared" si="45"/>
        <v/>
      </c>
      <c r="CE68" s="23"/>
      <c r="CF68" s="4"/>
      <c r="CG68" s="4"/>
      <c r="CH68" s="2" t="str">
        <f t="shared" si="46"/>
        <v/>
      </c>
      <c r="CI68" s="2" t="str">
        <f t="shared" si="47"/>
        <v/>
      </c>
    </row>
    <row r="69" spans="2:87" ht="21.75" customHeight="1">
      <c r="B69" s="38">
        <v>15</v>
      </c>
      <c r="C69" s="41"/>
      <c r="D69" s="45"/>
      <c r="E69" s="45"/>
      <c r="F69" s="45"/>
      <c r="G69" s="45"/>
      <c r="H69" s="45"/>
      <c r="I69" s="45"/>
      <c r="J69" s="45"/>
      <c r="K69" s="53"/>
      <c r="L69" s="53"/>
      <c r="M69" s="53"/>
      <c r="N69" s="45"/>
      <c r="O69" s="45"/>
      <c r="R69" s="4">
        <f t="shared" si="24"/>
        <v>15</v>
      </c>
      <c r="S69" s="1" t="str">
        <f t="shared" si="25"/>
        <v/>
      </c>
      <c r="T69" s="4"/>
      <c r="U69" s="4"/>
      <c r="V69" s="4"/>
      <c r="W69" s="4"/>
      <c r="X69" s="4"/>
      <c r="Y69" s="4"/>
      <c r="Z69" s="4"/>
      <c r="AA69" s="2" t="str">
        <f t="shared" si="26"/>
        <v/>
      </c>
      <c r="AB69" s="2" t="str">
        <f t="shared" si="27"/>
        <v/>
      </c>
      <c r="AC69" s="4">
        <f t="shared" si="28"/>
        <v>15</v>
      </c>
      <c r="AD69" s="1" t="str">
        <f t="shared" si="29"/>
        <v/>
      </c>
      <c r="AE69" s="4"/>
      <c r="AF69" s="4"/>
      <c r="AG69" s="4"/>
      <c r="AH69" s="4"/>
      <c r="AI69" s="4"/>
      <c r="AJ69" s="4"/>
      <c r="AK69" s="4"/>
      <c r="AL69" s="2" t="str">
        <f t="shared" si="30"/>
        <v/>
      </c>
      <c r="AM69" s="2" t="str">
        <f t="shared" si="31"/>
        <v/>
      </c>
      <c r="AN69" s="4">
        <f t="shared" si="32"/>
        <v>15</v>
      </c>
      <c r="AO69" s="1" t="str">
        <f t="shared" si="33"/>
        <v/>
      </c>
      <c r="AP69" s="4"/>
      <c r="AQ69" s="4"/>
      <c r="AR69" s="4"/>
      <c r="AS69" s="4"/>
      <c r="AT69" s="4"/>
      <c r="AU69" s="4"/>
      <c r="AV69" s="4"/>
      <c r="AW69" s="2" t="str">
        <f t="shared" si="34"/>
        <v/>
      </c>
      <c r="AX69" s="23" t="str">
        <f t="shared" si="35"/>
        <v/>
      </c>
      <c r="AY69" s="4">
        <f t="shared" si="36"/>
        <v>15</v>
      </c>
      <c r="AZ69" s="1" t="str">
        <f t="shared" si="37"/>
        <v/>
      </c>
      <c r="BA69" s="4"/>
      <c r="BB69" s="4"/>
      <c r="BC69" s="4"/>
      <c r="BD69" s="4"/>
      <c r="BE69" s="4"/>
      <c r="BF69" s="4"/>
      <c r="BG69" s="4"/>
      <c r="BH69" s="2" t="str">
        <f t="shared" si="38"/>
        <v/>
      </c>
      <c r="BI69" s="2" t="str">
        <f t="shared" si="39"/>
        <v/>
      </c>
      <c r="BJ69" s="4">
        <f t="shared" si="40"/>
        <v>15</v>
      </c>
      <c r="BK69" s="1" t="str">
        <f t="shared" si="41"/>
        <v/>
      </c>
      <c r="BL69" s="23"/>
      <c r="BM69" s="23"/>
      <c r="BN69" s="23"/>
      <c r="BO69" s="4"/>
      <c r="BP69" s="4"/>
      <c r="BQ69" s="23"/>
      <c r="BR69" s="4"/>
      <c r="BS69" s="4"/>
      <c r="BT69" s="23"/>
      <c r="BU69" s="23"/>
      <c r="BV69" s="23"/>
      <c r="BW69" s="4"/>
      <c r="BX69" s="4"/>
      <c r="BY69" s="23"/>
      <c r="BZ69" s="4"/>
      <c r="CA69" s="2" t="str">
        <f t="shared" si="42"/>
        <v/>
      </c>
      <c r="CB69" s="2" t="str">
        <f t="shared" si="43"/>
        <v/>
      </c>
      <c r="CC69" s="4">
        <f t="shared" si="44"/>
        <v>15</v>
      </c>
      <c r="CD69" s="1" t="str">
        <f t="shared" si="45"/>
        <v/>
      </c>
      <c r="CE69" s="23"/>
      <c r="CF69" s="4"/>
      <c r="CG69" s="4"/>
      <c r="CH69" s="2" t="str">
        <f t="shared" si="46"/>
        <v/>
      </c>
      <c r="CI69" s="2" t="str">
        <f t="shared" si="47"/>
        <v/>
      </c>
    </row>
    <row r="70" spans="2:87" ht="21.75" customHeight="1">
      <c r="B70" s="38">
        <v>16</v>
      </c>
      <c r="C70" s="41"/>
      <c r="D70" s="45"/>
      <c r="E70" s="45"/>
      <c r="F70" s="45"/>
      <c r="G70" s="45"/>
      <c r="H70" s="45"/>
      <c r="I70" s="45"/>
      <c r="J70" s="45"/>
      <c r="K70" s="53"/>
      <c r="L70" s="53"/>
      <c r="M70" s="53"/>
      <c r="N70" s="45"/>
      <c r="O70" s="45"/>
      <c r="R70" s="4">
        <f t="shared" si="24"/>
        <v>16</v>
      </c>
      <c r="S70" s="1" t="str">
        <f t="shared" si="25"/>
        <v/>
      </c>
      <c r="T70" s="4"/>
      <c r="U70" s="4"/>
      <c r="V70" s="4"/>
      <c r="W70" s="4"/>
      <c r="X70" s="4"/>
      <c r="Y70" s="4"/>
      <c r="Z70" s="4"/>
      <c r="AA70" s="2" t="str">
        <f t="shared" si="26"/>
        <v/>
      </c>
      <c r="AB70" s="2" t="str">
        <f t="shared" si="27"/>
        <v/>
      </c>
      <c r="AC70" s="4">
        <f t="shared" si="28"/>
        <v>16</v>
      </c>
      <c r="AD70" s="1" t="str">
        <f t="shared" si="29"/>
        <v/>
      </c>
      <c r="AE70" s="4"/>
      <c r="AF70" s="4"/>
      <c r="AG70" s="4"/>
      <c r="AH70" s="4"/>
      <c r="AI70" s="4"/>
      <c r="AJ70" s="4"/>
      <c r="AK70" s="4"/>
      <c r="AL70" s="2" t="str">
        <f t="shared" si="30"/>
        <v/>
      </c>
      <c r="AM70" s="2" t="str">
        <f t="shared" si="31"/>
        <v/>
      </c>
      <c r="AN70" s="4">
        <f t="shared" si="32"/>
        <v>16</v>
      </c>
      <c r="AO70" s="1" t="str">
        <f t="shared" si="33"/>
        <v/>
      </c>
      <c r="AP70" s="4"/>
      <c r="AQ70" s="4"/>
      <c r="AR70" s="4"/>
      <c r="AS70" s="4"/>
      <c r="AT70" s="4"/>
      <c r="AU70" s="4"/>
      <c r="AV70" s="4"/>
      <c r="AW70" s="2" t="str">
        <f t="shared" si="34"/>
        <v/>
      </c>
      <c r="AX70" s="23" t="str">
        <f t="shared" si="35"/>
        <v/>
      </c>
      <c r="AY70" s="4">
        <f t="shared" si="36"/>
        <v>16</v>
      </c>
      <c r="AZ70" s="1" t="str">
        <f t="shared" si="37"/>
        <v/>
      </c>
      <c r="BA70" s="4"/>
      <c r="BB70" s="4"/>
      <c r="BC70" s="4"/>
      <c r="BD70" s="4"/>
      <c r="BE70" s="4"/>
      <c r="BF70" s="4"/>
      <c r="BG70" s="4"/>
      <c r="BH70" s="2" t="str">
        <f t="shared" si="38"/>
        <v/>
      </c>
      <c r="BI70" s="2" t="str">
        <f t="shared" si="39"/>
        <v/>
      </c>
      <c r="BJ70" s="4">
        <f t="shared" si="40"/>
        <v>16</v>
      </c>
      <c r="BK70" s="1" t="str">
        <f t="shared" si="41"/>
        <v/>
      </c>
      <c r="BL70" s="23"/>
      <c r="BM70" s="23"/>
      <c r="BN70" s="23"/>
      <c r="BO70" s="4"/>
      <c r="BP70" s="4"/>
      <c r="BQ70" s="23"/>
      <c r="BR70" s="4"/>
      <c r="BS70" s="4"/>
      <c r="BT70" s="23"/>
      <c r="BU70" s="23"/>
      <c r="BV70" s="23"/>
      <c r="BW70" s="4"/>
      <c r="BX70" s="4"/>
      <c r="BY70" s="23"/>
      <c r="BZ70" s="4"/>
      <c r="CA70" s="2" t="str">
        <f t="shared" si="42"/>
        <v/>
      </c>
      <c r="CB70" s="2" t="str">
        <f t="shared" si="43"/>
        <v/>
      </c>
      <c r="CC70" s="4">
        <f t="shared" si="44"/>
        <v>16</v>
      </c>
      <c r="CD70" s="1" t="str">
        <f t="shared" si="45"/>
        <v/>
      </c>
      <c r="CE70" s="23"/>
      <c r="CF70" s="4"/>
      <c r="CG70" s="4"/>
      <c r="CH70" s="2" t="str">
        <f t="shared" si="46"/>
        <v/>
      </c>
      <c r="CI70" s="2" t="str">
        <f t="shared" si="47"/>
        <v/>
      </c>
    </row>
    <row r="71" spans="2:87" ht="21.75" customHeight="1">
      <c r="B71" s="38">
        <v>17</v>
      </c>
      <c r="C71" s="41"/>
      <c r="D71" s="45"/>
      <c r="E71" s="45"/>
      <c r="F71" s="45"/>
      <c r="G71" s="45"/>
      <c r="H71" s="45"/>
      <c r="I71" s="45"/>
      <c r="J71" s="45"/>
      <c r="K71" s="53"/>
      <c r="L71" s="53"/>
      <c r="M71" s="53"/>
      <c r="N71" s="45"/>
      <c r="O71" s="45"/>
      <c r="R71" s="4">
        <f t="shared" si="24"/>
        <v>17</v>
      </c>
      <c r="S71" s="1" t="str">
        <f t="shared" si="25"/>
        <v/>
      </c>
      <c r="T71" s="4"/>
      <c r="U71" s="4"/>
      <c r="V71" s="4"/>
      <c r="W71" s="4"/>
      <c r="X71" s="4"/>
      <c r="Y71" s="4"/>
      <c r="Z71" s="4"/>
      <c r="AA71" s="2" t="str">
        <f t="shared" si="26"/>
        <v/>
      </c>
      <c r="AB71" s="2" t="str">
        <f t="shared" si="27"/>
        <v/>
      </c>
      <c r="AC71" s="4">
        <f t="shared" si="28"/>
        <v>17</v>
      </c>
      <c r="AD71" s="1" t="str">
        <f t="shared" si="29"/>
        <v/>
      </c>
      <c r="AE71" s="4"/>
      <c r="AF71" s="4"/>
      <c r="AG71" s="4"/>
      <c r="AH71" s="4"/>
      <c r="AI71" s="4"/>
      <c r="AJ71" s="4"/>
      <c r="AK71" s="4"/>
      <c r="AL71" s="2" t="str">
        <f t="shared" si="30"/>
        <v/>
      </c>
      <c r="AM71" s="2" t="str">
        <f t="shared" si="31"/>
        <v/>
      </c>
      <c r="AN71" s="4">
        <f t="shared" si="32"/>
        <v>17</v>
      </c>
      <c r="AO71" s="1" t="str">
        <f t="shared" si="33"/>
        <v/>
      </c>
      <c r="AP71" s="4"/>
      <c r="AQ71" s="4"/>
      <c r="AR71" s="4"/>
      <c r="AS71" s="4"/>
      <c r="AT71" s="4"/>
      <c r="AU71" s="4"/>
      <c r="AV71" s="4"/>
      <c r="AW71" s="2" t="str">
        <f t="shared" si="34"/>
        <v/>
      </c>
      <c r="AX71" s="23" t="str">
        <f t="shared" si="35"/>
        <v/>
      </c>
      <c r="AY71" s="4">
        <f t="shared" si="36"/>
        <v>17</v>
      </c>
      <c r="AZ71" s="1" t="str">
        <f t="shared" si="37"/>
        <v/>
      </c>
      <c r="BA71" s="4"/>
      <c r="BB71" s="4"/>
      <c r="BC71" s="4"/>
      <c r="BD71" s="4"/>
      <c r="BE71" s="4"/>
      <c r="BF71" s="4"/>
      <c r="BG71" s="4"/>
      <c r="BH71" s="2" t="str">
        <f t="shared" si="38"/>
        <v/>
      </c>
      <c r="BI71" s="2" t="str">
        <f t="shared" si="39"/>
        <v/>
      </c>
      <c r="BJ71" s="4">
        <f t="shared" si="40"/>
        <v>17</v>
      </c>
      <c r="BK71" s="1" t="str">
        <f t="shared" si="41"/>
        <v/>
      </c>
      <c r="BL71" s="23"/>
      <c r="BM71" s="23"/>
      <c r="BN71" s="23"/>
      <c r="BO71" s="4"/>
      <c r="BP71" s="4"/>
      <c r="BQ71" s="23"/>
      <c r="BR71" s="4"/>
      <c r="BS71" s="4"/>
      <c r="BT71" s="23"/>
      <c r="BU71" s="23"/>
      <c r="BV71" s="23"/>
      <c r="BW71" s="4"/>
      <c r="BX71" s="4"/>
      <c r="BY71" s="23"/>
      <c r="BZ71" s="4"/>
      <c r="CA71" s="2" t="str">
        <f t="shared" si="42"/>
        <v/>
      </c>
      <c r="CB71" s="2" t="str">
        <f t="shared" si="43"/>
        <v/>
      </c>
      <c r="CC71" s="4">
        <f t="shared" si="44"/>
        <v>17</v>
      </c>
      <c r="CD71" s="1" t="str">
        <f t="shared" si="45"/>
        <v/>
      </c>
      <c r="CE71" s="23"/>
      <c r="CF71" s="4"/>
      <c r="CG71" s="4"/>
      <c r="CH71" s="2" t="str">
        <f t="shared" si="46"/>
        <v/>
      </c>
      <c r="CI71" s="2" t="str">
        <f t="shared" si="47"/>
        <v/>
      </c>
    </row>
    <row r="72" spans="2:87" ht="21.75" customHeight="1">
      <c r="B72" s="38">
        <v>18</v>
      </c>
      <c r="C72" s="54"/>
      <c r="D72" s="49"/>
      <c r="E72" s="49"/>
      <c r="F72" s="49"/>
      <c r="G72" s="49"/>
      <c r="H72" s="49"/>
      <c r="I72" s="49"/>
      <c r="J72" s="49"/>
      <c r="K72" s="40"/>
      <c r="L72" s="40"/>
      <c r="M72" s="40"/>
      <c r="N72" s="49"/>
      <c r="O72" s="49"/>
      <c r="R72" s="4">
        <f t="shared" si="24"/>
        <v>18</v>
      </c>
      <c r="S72" s="1" t="str">
        <f t="shared" si="25"/>
        <v/>
      </c>
      <c r="T72" s="4"/>
      <c r="U72" s="4"/>
      <c r="V72" s="4"/>
      <c r="W72" s="4"/>
      <c r="X72" s="4"/>
      <c r="Y72" s="4"/>
      <c r="Z72" s="4"/>
      <c r="AA72" s="25" t="str">
        <f t="shared" si="26"/>
        <v/>
      </c>
      <c r="AB72" s="25" t="str">
        <f t="shared" si="27"/>
        <v/>
      </c>
      <c r="AC72" s="4">
        <f t="shared" si="28"/>
        <v>18</v>
      </c>
      <c r="AD72" s="1" t="str">
        <f t="shared" si="29"/>
        <v/>
      </c>
      <c r="AE72" s="4"/>
      <c r="AF72" s="4"/>
      <c r="AG72" s="4"/>
      <c r="AH72" s="4"/>
      <c r="AI72" s="4"/>
      <c r="AJ72" s="4"/>
      <c r="AK72" s="4"/>
      <c r="AL72" s="25" t="str">
        <f t="shared" si="30"/>
        <v/>
      </c>
      <c r="AM72" s="25" t="str">
        <f t="shared" si="31"/>
        <v/>
      </c>
      <c r="AN72" s="4">
        <f t="shared" si="32"/>
        <v>18</v>
      </c>
      <c r="AO72" s="1" t="str">
        <f t="shared" si="33"/>
        <v/>
      </c>
      <c r="AP72" s="4"/>
      <c r="AQ72" s="4"/>
      <c r="AR72" s="4"/>
      <c r="AS72" s="4"/>
      <c r="AT72" s="4"/>
      <c r="AU72" s="4"/>
      <c r="AV72" s="4"/>
      <c r="AW72" s="2" t="str">
        <f t="shared" si="34"/>
        <v/>
      </c>
      <c r="AX72" s="23" t="str">
        <f t="shared" si="35"/>
        <v/>
      </c>
      <c r="AY72" s="4">
        <f t="shared" si="36"/>
        <v>18</v>
      </c>
      <c r="AZ72" s="1" t="str">
        <f t="shared" si="37"/>
        <v/>
      </c>
      <c r="BA72" s="4"/>
      <c r="BB72" s="4"/>
      <c r="BC72" s="4"/>
      <c r="BD72" s="4"/>
      <c r="BE72" s="4"/>
      <c r="BF72" s="4"/>
      <c r="BG72" s="4"/>
      <c r="BH72" s="25" t="str">
        <f t="shared" si="38"/>
        <v/>
      </c>
      <c r="BI72" s="25" t="str">
        <f t="shared" si="39"/>
        <v/>
      </c>
      <c r="BJ72" s="4">
        <f t="shared" si="40"/>
        <v>18</v>
      </c>
      <c r="BK72" s="1" t="str">
        <f t="shared" si="41"/>
        <v/>
      </c>
      <c r="BL72" s="23"/>
      <c r="BM72" s="23"/>
      <c r="BN72" s="23"/>
      <c r="BO72" s="4"/>
      <c r="BP72" s="4"/>
      <c r="BQ72" s="23"/>
      <c r="BR72" s="4"/>
      <c r="BS72" s="4"/>
      <c r="BT72" s="23"/>
      <c r="BU72" s="23"/>
      <c r="BV72" s="23"/>
      <c r="BW72" s="4"/>
      <c r="BX72" s="4"/>
      <c r="BY72" s="23"/>
      <c r="BZ72" s="4"/>
      <c r="CA72" s="25" t="str">
        <f t="shared" si="42"/>
        <v/>
      </c>
      <c r="CB72" s="25" t="str">
        <f t="shared" si="43"/>
        <v/>
      </c>
      <c r="CC72" s="4">
        <f t="shared" si="44"/>
        <v>18</v>
      </c>
      <c r="CD72" s="1" t="str">
        <f t="shared" si="45"/>
        <v/>
      </c>
      <c r="CE72" s="23"/>
      <c r="CF72" s="4"/>
      <c r="CG72" s="4"/>
      <c r="CH72" s="25" t="str">
        <f t="shared" si="46"/>
        <v/>
      </c>
      <c r="CI72" s="25" t="str">
        <f t="shared" si="47"/>
        <v/>
      </c>
    </row>
    <row r="73" spans="2:87" ht="21.75" customHeight="1">
      <c r="B73" s="38">
        <v>19</v>
      </c>
      <c r="C73" s="41"/>
      <c r="D73" s="45"/>
      <c r="E73" s="45"/>
      <c r="F73" s="45"/>
      <c r="G73" s="45"/>
      <c r="H73" s="45"/>
      <c r="I73" s="45"/>
      <c r="J73" s="45"/>
      <c r="K73" s="38"/>
      <c r="L73" s="38"/>
      <c r="M73" s="38"/>
      <c r="N73" s="45"/>
      <c r="O73" s="45"/>
      <c r="R73" s="4">
        <f t="shared" si="24"/>
        <v>19</v>
      </c>
      <c r="S73" s="1" t="str">
        <f t="shared" si="25"/>
        <v/>
      </c>
      <c r="T73" s="4"/>
      <c r="U73" s="4"/>
      <c r="V73" s="4"/>
      <c r="W73" s="4"/>
      <c r="X73" s="4"/>
      <c r="Y73" s="4"/>
      <c r="Z73" s="4"/>
      <c r="AA73" s="2" t="str">
        <f t="shared" si="26"/>
        <v/>
      </c>
      <c r="AB73" s="2" t="str">
        <f t="shared" si="27"/>
        <v/>
      </c>
      <c r="AC73" s="4">
        <f t="shared" si="28"/>
        <v>19</v>
      </c>
      <c r="AD73" s="1" t="str">
        <f t="shared" si="29"/>
        <v/>
      </c>
      <c r="AE73" s="4"/>
      <c r="AF73" s="4"/>
      <c r="AG73" s="4"/>
      <c r="AH73" s="4"/>
      <c r="AI73" s="4"/>
      <c r="AJ73" s="4"/>
      <c r="AK73" s="4"/>
      <c r="AL73" s="2" t="str">
        <f t="shared" si="30"/>
        <v/>
      </c>
      <c r="AM73" s="2" t="str">
        <f t="shared" si="31"/>
        <v/>
      </c>
      <c r="AN73" s="4">
        <f t="shared" si="32"/>
        <v>19</v>
      </c>
      <c r="AO73" s="1" t="str">
        <f t="shared" si="33"/>
        <v/>
      </c>
      <c r="AP73" s="4"/>
      <c r="AQ73" s="4"/>
      <c r="AR73" s="4"/>
      <c r="AS73" s="4"/>
      <c r="AT73" s="4"/>
      <c r="AU73" s="4"/>
      <c r="AV73" s="4"/>
      <c r="AW73" s="2" t="str">
        <f t="shared" si="34"/>
        <v/>
      </c>
      <c r="AX73" s="23" t="str">
        <f t="shared" si="35"/>
        <v/>
      </c>
      <c r="AY73" s="4">
        <f t="shared" si="36"/>
        <v>19</v>
      </c>
      <c r="AZ73" s="1" t="str">
        <f t="shared" si="37"/>
        <v/>
      </c>
      <c r="BA73" s="4"/>
      <c r="BB73" s="4"/>
      <c r="BC73" s="4"/>
      <c r="BD73" s="4"/>
      <c r="BE73" s="4"/>
      <c r="BF73" s="4"/>
      <c r="BG73" s="4"/>
      <c r="BH73" s="2" t="str">
        <f t="shared" si="38"/>
        <v/>
      </c>
      <c r="BI73" s="2" t="str">
        <f t="shared" si="39"/>
        <v/>
      </c>
      <c r="BJ73" s="4">
        <f t="shared" si="40"/>
        <v>19</v>
      </c>
      <c r="BK73" s="1" t="str">
        <f t="shared" si="41"/>
        <v/>
      </c>
      <c r="BL73" s="23"/>
      <c r="BM73" s="23"/>
      <c r="BN73" s="23"/>
      <c r="BO73" s="4"/>
      <c r="BP73" s="4"/>
      <c r="BQ73" s="23"/>
      <c r="BR73" s="4"/>
      <c r="BS73" s="4"/>
      <c r="BT73" s="23"/>
      <c r="BU73" s="23"/>
      <c r="BV73" s="23"/>
      <c r="BW73" s="4"/>
      <c r="BX73" s="4"/>
      <c r="BY73" s="23"/>
      <c r="BZ73" s="4"/>
      <c r="CA73" s="2" t="str">
        <f t="shared" si="42"/>
        <v/>
      </c>
      <c r="CB73" s="2" t="str">
        <f t="shared" si="43"/>
        <v/>
      </c>
      <c r="CC73" s="4">
        <f t="shared" si="44"/>
        <v>19</v>
      </c>
      <c r="CD73" s="1" t="str">
        <f t="shared" si="45"/>
        <v/>
      </c>
      <c r="CE73" s="23"/>
      <c r="CF73" s="4"/>
      <c r="CG73" s="4"/>
      <c r="CH73" s="2" t="str">
        <f t="shared" si="46"/>
        <v/>
      </c>
      <c r="CI73" s="2" t="str">
        <f t="shared" si="47"/>
        <v/>
      </c>
    </row>
    <row r="74" spans="2:87" ht="21.75" customHeight="1">
      <c r="B74" s="38">
        <v>20</v>
      </c>
      <c r="C74" s="41"/>
      <c r="D74" s="45"/>
      <c r="E74" s="45"/>
      <c r="F74" s="45"/>
      <c r="G74" s="45"/>
      <c r="H74" s="45"/>
      <c r="I74" s="45"/>
      <c r="J74" s="45"/>
      <c r="K74" s="38"/>
      <c r="L74" s="38"/>
      <c r="M74" s="38"/>
      <c r="N74" s="45"/>
      <c r="O74" s="45"/>
      <c r="R74" s="4">
        <f t="shared" si="24"/>
        <v>20</v>
      </c>
      <c r="S74" s="1" t="str">
        <f t="shared" si="25"/>
        <v/>
      </c>
      <c r="T74" s="4"/>
      <c r="U74" s="4"/>
      <c r="V74" s="4"/>
      <c r="W74" s="4"/>
      <c r="X74" s="4"/>
      <c r="Y74" s="4"/>
      <c r="Z74" s="4"/>
      <c r="AA74" s="2" t="str">
        <f t="shared" si="26"/>
        <v/>
      </c>
      <c r="AB74" s="2" t="str">
        <f t="shared" si="27"/>
        <v/>
      </c>
      <c r="AC74" s="4">
        <f t="shared" si="28"/>
        <v>20</v>
      </c>
      <c r="AD74" s="1" t="str">
        <f t="shared" si="29"/>
        <v/>
      </c>
      <c r="AE74" s="4"/>
      <c r="AF74" s="4"/>
      <c r="AG74" s="4"/>
      <c r="AH74" s="4"/>
      <c r="AI74" s="4"/>
      <c r="AJ74" s="4"/>
      <c r="AK74" s="4"/>
      <c r="AL74" s="2" t="str">
        <f t="shared" si="30"/>
        <v/>
      </c>
      <c r="AM74" s="2" t="str">
        <f t="shared" si="31"/>
        <v/>
      </c>
      <c r="AN74" s="4">
        <f t="shared" si="32"/>
        <v>20</v>
      </c>
      <c r="AO74" s="1" t="str">
        <f t="shared" si="33"/>
        <v/>
      </c>
      <c r="AP74" s="4"/>
      <c r="AQ74" s="4"/>
      <c r="AR74" s="4"/>
      <c r="AS74" s="4"/>
      <c r="AT74" s="4"/>
      <c r="AU74" s="4"/>
      <c r="AV74" s="4"/>
      <c r="AW74" s="2" t="str">
        <f t="shared" si="34"/>
        <v/>
      </c>
      <c r="AX74" s="23" t="str">
        <f t="shared" si="35"/>
        <v/>
      </c>
      <c r="AY74" s="4">
        <f t="shared" si="36"/>
        <v>20</v>
      </c>
      <c r="AZ74" s="1" t="str">
        <f t="shared" si="37"/>
        <v/>
      </c>
      <c r="BA74" s="4"/>
      <c r="BB74" s="4"/>
      <c r="BC74" s="4"/>
      <c r="BD74" s="4"/>
      <c r="BE74" s="4"/>
      <c r="BF74" s="4"/>
      <c r="BG74" s="4"/>
      <c r="BH74" s="2" t="str">
        <f t="shared" si="38"/>
        <v/>
      </c>
      <c r="BI74" s="2" t="str">
        <f t="shared" si="39"/>
        <v/>
      </c>
      <c r="BJ74" s="4">
        <f t="shared" si="40"/>
        <v>20</v>
      </c>
      <c r="BK74" s="1" t="str">
        <f t="shared" si="41"/>
        <v/>
      </c>
      <c r="BL74" s="23"/>
      <c r="BM74" s="23"/>
      <c r="BN74" s="23"/>
      <c r="BO74" s="4"/>
      <c r="BP74" s="4"/>
      <c r="BQ74" s="23"/>
      <c r="BR74" s="4"/>
      <c r="BS74" s="4"/>
      <c r="BT74" s="23"/>
      <c r="BU74" s="23"/>
      <c r="BV74" s="23"/>
      <c r="BW74" s="4"/>
      <c r="BX74" s="4"/>
      <c r="BY74" s="23"/>
      <c r="BZ74" s="4"/>
      <c r="CA74" s="2" t="str">
        <f t="shared" si="42"/>
        <v/>
      </c>
      <c r="CB74" s="2" t="str">
        <f t="shared" si="43"/>
        <v/>
      </c>
      <c r="CC74" s="4">
        <f t="shared" si="44"/>
        <v>20</v>
      </c>
      <c r="CD74" s="1" t="str">
        <f t="shared" si="45"/>
        <v/>
      </c>
      <c r="CE74" s="23"/>
      <c r="CF74" s="4"/>
      <c r="CG74" s="4"/>
      <c r="CH74" s="2" t="str">
        <f t="shared" si="46"/>
        <v/>
      </c>
      <c r="CI74" s="2" t="str">
        <f t="shared" si="47"/>
        <v/>
      </c>
    </row>
    <row r="75" spans="2:87" ht="21.75" customHeight="1">
      <c r="B75" s="38">
        <v>21</v>
      </c>
      <c r="C75" s="41"/>
      <c r="D75" s="45"/>
      <c r="E75" s="45"/>
      <c r="F75" s="45"/>
      <c r="G75" s="45"/>
      <c r="H75" s="45"/>
      <c r="I75" s="45"/>
      <c r="J75" s="45"/>
      <c r="K75" s="38"/>
      <c r="L75" s="38"/>
      <c r="M75" s="38"/>
      <c r="N75" s="45"/>
      <c r="O75" s="45"/>
      <c r="R75" s="4">
        <f t="shared" si="24"/>
        <v>21</v>
      </c>
      <c r="S75" s="1" t="str">
        <f t="shared" si="25"/>
        <v/>
      </c>
      <c r="T75" s="4"/>
      <c r="U75" s="4"/>
      <c r="V75" s="4"/>
      <c r="W75" s="4"/>
      <c r="X75" s="4"/>
      <c r="Y75" s="4"/>
      <c r="Z75" s="4"/>
      <c r="AA75" s="2" t="str">
        <f t="shared" si="26"/>
        <v/>
      </c>
      <c r="AB75" s="2" t="str">
        <f t="shared" si="27"/>
        <v/>
      </c>
      <c r="AC75" s="4">
        <f t="shared" si="28"/>
        <v>21</v>
      </c>
      <c r="AD75" s="1" t="str">
        <f t="shared" si="29"/>
        <v/>
      </c>
      <c r="AE75" s="4"/>
      <c r="AF75" s="4"/>
      <c r="AG75" s="4"/>
      <c r="AH75" s="4"/>
      <c r="AI75" s="4"/>
      <c r="AJ75" s="4"/>
      <c r="AK75" s="4"/>
      <c r="AL75" s="2" t="str">
        <f t="shared" si="30"/>
        <v/>
      </c>
      <c r="AM75" s="2" t="str">
        <f t="shared" si="31"/>
        <v/>
      </c>
      <c r="AN75" s="4">
        <f t="shared" si="32"/>
        <v>21</v>
      </c>
      <c r="AO75" s="1" t="str">
        <f t="shared" si="33"/>
        <v/>
      </c>
      <c r="AP75" s="4"/>
      <c r="AQ75" s="4"/>
      <c r="AR75" s="4"/>
      <c r="AS75" s="4"/>
      <c r="AT75" s="4"/>
      <c r="AU75" s="4"/>
      <c r="AV75" s="4"/>
      <c r="AW75" s="2" t="str">
        <f t="shared" si="34"/>
        <v/>
      </c>
      <c r="AX75" s="23" t="str">
        <f t="shared" si="35"/>
        <v/>
      </c>
      <c r="AY75" s="4">
        <f t="shared" si="36"/>
        <v>21</v>
      </c>
      <c r="AZ75" s="1" t="str">
        <f t="shared" si="37"/>
        <v/>
      </c>
      <c r="BA75" s="4"/>
      <c r="BB75" s="4"/>
      <c r="BC75" s="4"/>
      <c r="BD75" s="4"/>
      <c r="BE75" s="4"/>
      <c r="BF75" s="4"/>
      <c r="BG75" s="4"/>
      <c r="BH75" s="2" t="str">
        <f t="shared" si="38"/>
        <v/>
      </c>
      <c r="BI75" s="2" t="str">
        <f t="shared" si="39"/>
        <v/>
      </c>
      <c r="BJ75" s="4">
        <f t="shared" si="40"/>
        <v>21</v>
      </c>
      <c r="BK75" s="1" t="str">
        <f t="shared" si="41"/>
        <v/>
      </c>
      <c r="BL75" s="23"/>
      <c r="BM75" s="23"/>
      <c r="BN75" s="23"/>
      <c r="BO75" s="4"/>
      <c r="BP75" s="4"/>
      <c r="BQ75" s="23"/>
      <c r="BR75" s="4"/>
      <c r="BS75" s="4"/>
      <c r="BT75" s="23"/>
      <c r="BU75" s="23"/>
      <c r="BV75" s="23"/>
      <c r="BW75" s="4"/>
      <c r="BX75" s="4"/>
      <c r="BY75" s="23"/>
      <c r="BZ75" s="4"/>
      <c r="CA75" s="2" t="str">
        <f t="shared" si="42"/>
        <v/>
      </c>
      <c r="CB75" s="2" t="str">
        <f t="shared" si="43"/>
        <v/>
      </c>
      <c r="CC75" s="4">
        <f t="shared" si="44"/>
        <v>21</v>
      </c>
      <c r="CD75" s="1" t="str">
        <f t="shared" si="45"/>
        <v/>
      </c>
      <c r="CE75" s="23"/>
      <c r="CF75" s="4"/>
      <c r="CG75" s="4"/>
      <c r="CH75" s="2" t="str">
        <f t="shared" si="46"/>
        <v/>
      </c>
      <c r="CI75" s="2" t="str">
        <f t="shared" si="47"/>
        <v/>
      </c>
    </row>
    <row r="76" spans="2:87" ht="21.75" customHeight="1">
      <c r="B76" s="38">
        <v>22</v>
      </c>
      <c r="C76" s="41"/>
      <c r="D76" s="45"/>
      <c r="E76" s="45"/>
      <c r="F76" s="45"/>
      <c r="G76" s="45"/>
      <c r="H76" s="45"/>
      <c r="I76" s="45"/>
      <c r="J76" s="45"/>
      <c r="K76" s="39"/>
      <c r="L76" s="39"/>
      <c r="M76" s="39"/>
      <c r="N76" s="45"/>
      <c r="O76" s="45"/>
      <c r="R76" s="4">
        <f t="shared" si="24"/>
        <v>22</v>
      </c>
      <c r="S76" s="1" t="str">
        <f t="shared" si="25"/>
        <v/>
      </c>
      <c r="T76" s="4"/>
      <c r="U76" s="4"/>
      <c r="V76" s="4"/>
      <c r="W76" s="4"/>
      <c r="X76" s="4"/>
      <c r="Y76" s="4"/>
      <c r="Z76" s="4"/>
      <c r="AA76" s="2" t="str">
        <f t="shared" si="26"/>
        <v/>
      </c>
      <c r="AB76" s="2" t="str">
        <f t="shared" si="27"/>
        <v/>
      </c>
      <c r="AC76" s="4">
        <f t="shared" si="28"/>
        <v>22</v>
      </c>
      <c r="AD76" s="1" t="str">
        <f t="shared" si="29"/>
        <v/>
      </c>
      <c r="AE76" s="4"/>
      <c r="AF76" s="4"/>
      <c r="AG76" s="4"/>
      <c r="AH76" s="4"/>
      <c r="AI76" s="4"/>
      <c r="AJ76" s="4"/>
      <c r="AK76" s="4"/>
      <c r="AL76" s="2" t="str">
        <f t="shared" si="30"/>
        <v/>
      </c>
      <c r="AM76" s="2" t="str">
        <f t="shared" si="31"/>
        <v/>
      </c>
      <c r="AN76" s="4">
        <f t="shared" si="32"/>
        <v>22</v>
      </c>
      <c r="AO76" s="1" t="str">
        <f t="shared" si="33"/>
        <v/>
      </c>
      <c r="AP76" s="4"/>
      <c r="AQ76" s="4"/>
      <c r="AR76" s="4"/>
      <c r="AS76" s="4"/>
      <c r="AT76" s="4"/>
      <c r="AU76" s="4"/>
      <c r="AV76" s="4"/>
      <c r="AW76" s="2" t="str">
        <f t="shared" si="34"/>
        <v/>
      </c>
      <c r="AX76" s="23" t="str">
        <f t="shared" si="35"/>
        <v/>
      </c>
      <c r="AY76" s="4">
        <f t="shared" si="36"/>
        <v>22</v>
      </c>
      <c r="AZ76" s="1" t="str">
        <f t="shared" si="37"/>
        <v/>
      </c>
      <c r="BA76" s="4"/>
      <c r="BB76" s="4"/>
      <c r="BC76" s="4"/>
      <c r="BD76" s="4"/>
      <c r="BE76" s="4"/>
      <c r="BF76" s="4"/>
      <c r="BG76" s="4"/>
      <c r="BH76" s="2" t="str">
        <f t="shared" si="38"/>
        <v/>
      </c>
      <c r="BI76" s="2" t="str">
        <f t="shared" si="39"/>
        <v/>
      </c>
      <c r="BJ76" s="4">
        <f t="shared" si="40"/>
        <v>22</v>
      </c>
      <c r="BK76" s="1" t="str">
        <f t="shared" si="41"/>
        <v/>
      </c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2" t="str">
        <f t="shared" si="42"/>
        <v/>
      </c>
      <c r="CB76" s="2" t="str">
        <f t="shared" si="43"/>
        <v/>
      </c>
      <c r="CC76" s="4">
        <f t="shared" si="44"/>
        <v>22</v>
      </c>
      <c r="CD76" s="1" t="str">
        <f t="shared" si="45"/>
        <v/>
      </c>
      <c r="CE76" s="4"/>
      <c r="CF76" s="4"/>
      <c r="CG76" s="4"/>
      <c r="CH76" s="2" t="str">
        <f t="shared" si="46"/>
        <v/>
      </c>
      <c r="CI76" s="2" t="str">
        <f t="shared" si="47"/>
        <v/>
      </c>
    </row>
    <row r="77" spans="2:87" ht="21.75" customHeight="1">
      <c r="B77" s="38">
        <v>23</v>
      </c>
      <c r="C77" s="41"/>
      <c r="D77" s="45"/>
      <c r="E77" s="45"/>
      <c r="F77" s="45"/>
      <c r="G77" s="45"/>
      <c r="H77" s="45"/>
      <c r="I77" s="45"/>
      <c r="J77" s="45"/>
      <c r="K77" s="39"/>
      <c r="L77" s="39"/>
      <c r="M77" s="39"/>
      <c r="N77" s="45"/>
      <c r="O77" s="45"/>
      <c r="R77" s="4">
        <f t="shared" si="24"/>
        <v>23</v>
      </c>
      <c r="S77" s="1" t="str">
        <f t="shared" si="25"/>
        <v/>
      </c>
      <c r="T77" s="4"/>
      <c r="U77" s="4"/>
      <c r="V77" s="4"/>
      <c r="W77" s="4"/>
      <c r="X77" s="4"/>
      <c r="Y77" s="4"/>
      <c r="Z77" s="4"/>
      <c r="AA77" s="2" t="str">
        <f t="shared" si="26"/>
        <v/>
      </c>
      <c r="AB77" s="2" t="str">
        <f t="shared" si="27"/>
        <v/>
      </c>
      <c r="AC77" s="4">
        <f t="shared" si="28"/>
        <v>23</v>
      </c>
      <c r="AD77" s="1" t="str">
        <f t="shared" si="29"/>
        <v/>
      </c>
      <c r="AE77" s="4"/>
      <c r="AF77" s="4"/>
      <c r="AG77" s="4"/>
      <c r="AH77" s="4"/>
      <c r="AI77" s="4"/>
      <c r="AJ77" s="4"/>
      <c r="AK77" s="4"/>
      <c r="AL77" s="2" t="str">
        <f t="shared" si="30"/>
        <v/>
      </c>
      <c r="AM77" s="2" t="str">
        <f t="shared" si="31"/>
        <v/>
      </c>
      <c r="AN77" s="4">
        <f t="shared" si="32"/>
        <v>23</v>
      </c>
      <c r="AO77" s="1" t="str">
        <f t="shared" si="33"/>
        <v/>
      </c>
      <c r="AP77" s="4"/>
      <c r="AQ77" s="4"/>
      <c r="AR77" s="4"/>
      <c r="AS77" s="4"/>
      <c r="AT77" s="4"/>
      <c r="AU77" s="4"/>
      <c r="AV77" s="4"/>
      <c r="AW77" s="2" t="str">
        <f t="shared" si="34"/>
        <v/>
      </c>
      <c r="AX77" s="23" t="str">
        <f t="shared" si="35"/>
        <v/>
      </c>
      <c r="AY77" s="4">
        <f t="shared" si="36"/>
        <v>23</v>
      </c>
      <c r="AZ77" s="1" t="str">
        <f t="shared" si="37"/>
        <v/>
      </c>
      <c r="BA77" s="4"/>
      <c r="BB77" s="4"/>
      <c r="BC77" s="4"/>
      <c r="BD77" s="4"/>
      <c r="BE77" s="4"/>
      <c r="BF77" s="4"/>
      <c r="BG77" s="4"/>
      <c r="BH77" s="2" t="str">
        <f t="shared" si="38"/>
        <v/>
      </c>
      <c r="BI77" s="2" t="str">
        <f t="shared" si="39"/>
        <v/>
      </c>
      <c r="BJ77" s="4">
        <f t="shared" si="40"/>
        <v>23</v>
      </c>
      <c r="BK77" s="1" t="str">
        <f t="shared" si="41"/>
        <v/>
      </c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2" t="str">
        <f t="shared" si="42"/>
        <v/>
      </c>
      <c r="CB77" s="2" t="str">
        <f t="shared" si="43"/>
        <v/>
      </c>
      <c r="CC77" s="4">
        <f t="shared" si="44"/>
        <v>23</v>
      </c>
      <c r="CD77" s="1" t="str">
        <f t="shared" si="45"/>
        <v/>
      </c>
      <c r="CE77" s="4"/>
      <c r="CF77" s="4"/>
      <c r="CG77" s="4"/>
      <c r="CH77" s="2" t="str">
        <f t="shared" si="46"/>
        <v/>
      </c>
      <c r="CI77" s="2" t="str">
        <f t="shared" si="47"/>
        <v/>
      </c>
    </row>
    <row r="78" spans="2:87" ht="21.75" customHeight="1">
      <c r="B78" s="38">
        <v>24</v>
      </c>
      <c r="C78" s="41"/>
      <c r="D78" s="45"/>
      <c r="E78" s="45"/>
      <c r="F78" s="45"/>
      <c r="G78" s="45"/>
      <c r="H78" s="45"/>
      <c r="I78" s="45"/>
      <c r="J78" s="45"/>
      <c r="K78" s="39"/>
      <c r="L78" s="39"/>
      <c r="M78" s="39"/>
      <c r="N78" s="45"/>
      <c r="O78" s="45"/>
      <c r="R78" s="4">
        <f t="shared" si="24"/>
        <v>24</v>
      </c>
      <c r="S78" s="1" t="str">
        <f t="shared" si="25"/>
        <v/>
      </c>
      <c r="T78" s="4"/>
      <c r="U78" s="4"/>
      <c r="V78" s="4"/>
      <c r="W78" s="4"/>
      <c r="X78" s="4"/>
      <c r="Y78" s="4"/>
      <c r="Z78" s="4"/>
      <c r="AA78" s="2" t="str">
        <f t="shared" si="26"/>
        <v/>
      </c>
      <c r="AB78" s="2" t="str">
        <f t="shared" si="27"/>
        <v/>
      </c>
      <c r="AC78" s="4">
        <f t="shared" si="28"/>
        <v>24</v>
      </c>
      <c r="AD78" s="1" t="str">
        <f t="shared" si="29"/>
        <v/>
      </c>
      <c r="AE78" s="4"/>
      <c r="AF78" s="4"/>
      <c r="AG78" s="4"/>
      <c r="AH78" s="4"/>
      <c r="AI78" s="4"/>
      <c r="AJ78" s="4"/>
      <c r="AK78" s="4"/>
      <c r="AL78" s="2" t="str">
        <f t="shared" si="30"/>
        <v/>
      </c>
      <c r="AM78" s="2" t="str">
        <f t="shared" si="31"/>
        <v/>
      </c>
      <c r="AN78" s="4">
        <f t="shared" si="32"/>
        <v>24</v>
      </c>
      <c r="AO78" s="1" t="str">
        <f t="shared" si="33"/>
        <v/>
      </c>
      <c r="AP78" s="4"/>
      <c r="AQ78" s="4"/>
      <c r="AR78" s="4"/>
      <c r="AS78" s="4"/>
      <c r="AT78" s="4"/>
      <c r="AU78" s="4"/>
      <c r="AV78" s="4"/>
      <c r="AW78" s="2" t="str">
        <f t="shared" si="34"/>
        <v/>
      </c>
      <c r="AX78" s="23" t="str">
        <f t="shared" si="35"/>
        <v/>
      </c>
      <c r="AY78" s="4">
        <f t="shared" si="36"/>
        <v>24</v>
      </c>
      <c r="AZ78" s="1" t="str">
        <f t="shared" si="37"/>
        <v/>
      </c>
      <c r="BA78" s="4"/>
      <c r="BB78" s="4"/>
      <c r="BC78" s="4"/>
      <c r="BD78" s="4"/>
      <c r="BE78" s="4"/>
      <c r="BF78" s="4"/>
      <c r="BG78" s="4"/>
      <c r="BH78" s="2" t="str">
        <f t="shared" si="38"/>
        <v/>
      </c>
      <c r="BI78" s="2" t="str">
        <f t="shared" si="39"/>
        <v/>
      </c>
      <c r="BJ78" s="4">
        <f t="shared" si="40"/>
        <v>24</v>
      </c>
      <c r="BK78" s="1" t="str">
        <f t="shared" si="41"/>
        <v/>
      </c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2" t="str">
        <f t="shared" si="42"/>
        <v/>
      </c>
      <c r="CB78" s="2" t="str">
        <f t="shared" si="43"/>
        <v/>
      </c>
      <c r="CC78" s="4">
        <f t="shared" si="44"/>
        <v>24</v>
      </c>
      <c r="CD78" s="1" t="str">
        <f t="shared" si="45"/>
        <v/>
      </c>
      <c r="CE78" s="4"/>
      <c r="CF78" s="4"/>
      <c r="CG78" s="4"/>
      <c r="CH78" s="2" t="str">
        <f t="shared" si="46"/>
        <v/>
      </c>
      <c r="CI78" s="2" t="str">
        <f t="shared" si="47"/>
        <v/>
      </c>
    </row>
    <row r="79" spans="2:87" ht="21.75" customHeight="1">
      <c r="B79" s="38">
        <v>25</v>
      </c>
      <c r="C79" s="41"/>
      <c r="D79" s="45"/>
      <c r="E79" s="45"/>
      <c r="F79" s="45"/>
      <c r="G79" s="45"/>
      <c r="H79" s="45"/>
      <c r="I79" s="45"/>
      <c r="J79" s="45"/>
      <c r="K79" s="39"/>
      <c r="L79" s="39"/>
      <c r="M79" s="39"/>
      <c r="N79" s="45"/>
      <c r="O79" s="45"/>
      <c r="R79" s="4">
        <f t="shared" si="24"/>
        <v>25</v>
      </c>
      <c r="S79" s="1" t="str">
        <f t="shared" si="25"/>
        <v/>
      </c>
      <c r="T79" s="4"/>
      <c r="U79" s="4"/>
      <c r="V79" s="4"/>
      <c r="W79" s="4"/>
      <c r="X79" s="4"/>
      <c r="Y79" s="4"/>
      <c r="Z79" s="4"/>
      <c r="AA79" s="2" t="str">
        <f t="shared" si="26"/>
        <v/>
      </c>
      <c r="AB79" s="2" t="str">
        <f t="shared" si="27"/>
        <v/>
      </c>
      <c r="AC79" s="4">
        <f t="shared" si="28"/>
        <v>25</v>
      </c>
      <c r="AD79" s="1" t="str">
        <f t="shared" si="29"/>
        <v/>
      </c>
      <c r="AE79" s="4"/>
      <c r="AF79" s="4"/>
      <c r="AG79" s="4"/>
      <c r="AH79" s="4"/>
      <c r="AI79" s="4"/>
      <c r="AJ79" s="4"/>
      <c r="AK79" s="4"/>
      <c r="AL79" s="2" t="str">
        <f t="shared" si="30"/>
        <v/>
      </c>
      <c r="AM79" s="2" t="str">
        <f t="shared" si="31"/>
        <v/>
      </c>
      <c r="AN79" s="4">
        <f t="shared" si="32"/>
        <v>25</v>
      </c>
      <c r="AO79" s="1" t="str">
        <f t="shared" si="33"/>
        <v/>
      </c>
      <c r="AP79" s="4"/>
      <c r="AQ79" s="4"/>
      <c r="AR79" s="4"/>
      <c r="AS79" s="4"/>
      <c r="AT79" s="4"/>
      <c r="AU79" s="4"/>
      <c r="AV79" s="4"/>
      <c r="AW79" s="2" t="str">
        <f t="shared" si="34"/>
        <v/>
      </c>
      <c r="AX79" s="23" t="str">
        <f t="shared" si="35"/>
        <v/>
      </c>
      <c r="AY79" s="4">
        <f t="shared" si="36"/>
        <v>25</v>
      </c>
      <c r="AZ79" s="1" t="str">
        <f t="shared" si="37"/>
        <v/>
      </c>
      <c r="BA79" s="4"/>
      <c r="BB79" s="4"/>
      <c r="BC79" s="4"/>
      <c r="BD79" s="4"/>
      <c r="BE79" s="4"/>
      <c r="BF79" s="4"/>
      <c r="BG79" s="4"/>
      <c r="BH79" s="2" t="str">
        <f t="shared" si="38"/>
        <v/>
      </c>
      <c r="BI79" s="2" t="str">
        <f t="shared" si="39"/>
        <v/>
      </c>
      <c r="BJ79" s="4">
        <f t="shared" si="40"/>
        <v>25</v>
      </c>
      <c r="BK79" s="1" t="str">
        <f t="shared" si="41"/>
        <v/>
      </c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2" t="str">
        <f t="shared" si="42"/>
        <v/>
      </c>
      <c r="CB79" s="2" t="str">
        <f t="shared" si="43"/>
        <v/>
      </c>
      <c r="CC79" s="4">
        <f t="shared" si="44"/>
        <v>25</v>
      </c>
      <c r="CD79" s="1" t="str">
        <f t="shared" si="45"/>
        <v/>
      </c>
      <c r="CE79" s="4"/>
      <c r="CF79" s="4"/>
      <c r="CG79" s="4"/>
      <c r="CH79" s="2" t="str">
        <f t="shared" si="46"/>
        <v/>
      </c>
      <c r="CI79" s="2" t="str">
        <f t="shared" si="47"/>
        <v/>
      </c>
    </row>
    <row r="80" spans="2:87" ht="21.75" customHeight="1">
      <c r="B80" s="38">
        <v>26</v>
      </c>
      <c r="C80" s="41"/>
      <c r="D80" s="45"/>
      <c r="E80" s="45"/>
      <c r="F80" s="45"/>
      <c r="G80" s="45"/>
      <c r="H80" s="45"/>
      <c r="I80" s="45"/>
      <c r="J80" s="45"/>
      <c r="K80" s="39"/>
      <c r="L80" s="39"/>
      <c r="M80" s="39"/>
      <c r="N80" s="45"/>
      <c r="O80" s="45"/>
      <c r="R80" s="4">
        <f t="shared" si="24"/>
        <v>26</v>
      </c>
      <c r="S80" s="1" t="str">
        <f t="shared" si="25"/>
        <v/>
      </c>
      <c r="T80" s="4"/>
      <c r="U80" s="4"/>
      <c r="V80" s="4"/>
      <c r="W80" s="4"/>
      <c r="X80" s="4"/>
      <c r="Y80" s="4"/>
      <c r="Z80" s="4"/>
      <c r="AA80" s="2" t="str">
        <f t="shared" si="26"/>
        <v/>
      </c>
      <c r="AB80" s="2" t="str">
        <f t="shared" si="27"/>
        <v/>
      </c>
      <c r="AC80" s="4">
        <f t="shared" si="28"/>
        <v>26</v>
      </c>
      <c r="AD80" s="1" t="str">
        <f t="shared" si="29"/>
        <v/>
      </c>
      <c r="AE80" s="4"/>
      <c r="AF80" s="4"/>
      <c r="AG80" s="4"/>
      <c r="AH80" s="4"/>
      <c r="AI80" s="4"/>
      <c r="AJ80" s="4"/>
      <c r="AK80" s="4"/>
      <c r="AL80" s="2" t="str">
        <f t="shared" si="30"/>
        <v/>
      </c>
      <c r="AM80" s="2" t="str">
        <f t="shared" si="31"/>
        <v/>
      </c>
      <c r="AN80" s="4">
        <f t="shared" si="32"/>
        <v>26</v>
      </c>
      <c r="AO80" s="1" t="str">
        <f t="shared" si="33"/>
        <v/>
      </c>
      <c r="AP80" s="4"/>
      <c r="AQ80" s="4"/>
      <c r="AR80" s="4"/>
      <c r="AS80" s="4"/>
      <c r="AT80" s="4"/>
      <c r="AU80" s="4"/>
      <c r="AV80" s="4"/>
      <c r="AW80" s="2" t="str">
        <f t="shared" si="34"/>
        <v/>
      </c>
      <c r="AX80" s="23" t="str">
        <f t="shared" si="35"/>
        <v/>
      </c>
      <c r="AY80" s="4">
        <f t="shared" si="36"/>
        <v>26</v>
      </c>
      <c r="AZ80" s="1" t="str">
        <f t="shared" si="37"/>
        <v/>
      </c>
      <c r="BA80" s="4"/>
      <c r="BB80" s="4"/>
      <c r="BC80" s="4"/>
      <c r="BD80" s="4"/>
      <c r="BE80" s="4"/>
      <c r="BF80" s="4"/>
      <c r="BG80" s="4"/>
      <c r="BH80" s="2" t="str">
        <f t="shared" si="38"/>
        <v/>
      </c>
      <c r="BI80" s="2" t="str">
        <f t="shared" si="39"/>
        <v/>
      </c>
      <c r="BJ80" s="4">
        <f t="shared" si="40"/>
        <v>26</v>
      </c>
      <c r="BK80" s="1" t="str">
        <f t="shared" si="41"/>
        <v/>
      </c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2" t="str">
        <f t="shared" si="42"/>
        <v/>
      </c>
      <c r="CB80" s="2" t="str">
        <f t="shared" si="43"/>
        <v/>
      </c>
      <c r="CC80" s="4">
        <f t="shared" si="44"/>
        <v>26</v>
      </c>
      <c r="CD80" s="1" t="str">
        <f t="shared" si="45"/>
        <v/>
      </c>
      <c r="CE80" s="4"/>
      <c r="CF80" s="4"/>
      <c r="CG80" s="4"/>
      <c r="CH80" s="2" t="str">
        <f t="shared" si="46"/>
        <v/>
      </c>
      <c r="CI80" s="2" t="str">
        <f t="shared" si="47"/>
        <v/>
      </c>
    </row>
    <row r="81" spans="2:87" ht="21.75" customHeight="1">
      <c r="B81" s="38">
        <v>27</v>
      </c>
      <c r="C81" s="41"/>
      <c r="D81" s="45"/>
      <c r="E81" s="45"/>
      <c r="F81" s="45"/>
      <c r="G81" s="45"/>
      <c r="H81" s="45"/>
      <c r="I81" s="45"/>
      <c r="J81" s="45"/>
      <c r="K81" s="39"/>
      <c r="L81" s="39"/>
      <c r="M81" s="39"/>
      <c r="N81" s="45"/>
      <c r="O81" s="45"/>
      <c r="R81" s="4">
        <f t="shared" si="24"/>
        <v>27</v>
      </c>
      <c r="S81" s="1" t="str">
        <f t="shared" si="25"/>
        <v/>
      </c>
      <c r="T81" s="4"/>
      <c r="U81" s="4"/>
      <c r="V81" s="4"/>
      <c r="W81" s="4"/>
      <c r="X81" s="4"/>
      <c r="Y81" s="4"/>
      <c r="Z81" s="4"/>
      <c r="AA81" s="2" t="str">
        <f t="shared" si="26"/>
        <v/>
      </c>
      <c r="AB81" s="2" t="str">
        <f t="shared" si="27"/>
        <v/>
      </c>
      <c r="AC81" s="4">
        <f t="shared" si="28"/>
        <v>27</v>
      </c>
      <c r="AD81" s="1" t="str">
        <f t="shared" si="29"/>
        <v/>
      </c>
      <c r="AE81" s="4"/>
      <c r="AF81" s="4"/>
      <c r="AG81" s="4"/>
      <c r="AH81" s="4"/>
      <c r="AI81" s="4"/>
      <c r="AJ81" s="4"/>
      <c r="AK81" s="4"/>
      <c r="AL81" s="2" t="str">
        <f t="shared" si="30"/>
        <v/>
      </c>
      <c r="AM81" s="2" t="str">
        <f t="shared" si="31"/>
        <v/>
      </c>
      <c r="AN81" s="4">
        <f t="shared" si="32"/>
        <v>27</v>
      </c>
      <c r="AO81" s="1" t="str">
        <f t="shared" si="33"/>
        <v/>
      </c>
      <c r="AP81" s="4"/>
      <c r="AQ81" s="4"/>
      <c r="AR81" s="4"/>
      <c r="AS81" s="4"/>
      <c r="AT81" s="4"/>
      <c r="AU81" s="4"/>
      <c r="AV81" s="4"/>
      <c r="AW81" s="2" t="str">
        <f t="shared" si="34"/>
        <v/>
      </c>
      <c r="AX81" s="23" t="str">
        <f t="shared" si="35"/>
        <v/>
      </c>
      <c r="AY81" s="4">
        <f t="shared" si="36"/>
        <v>27</v>
      </c>
      <c r="AZ81" s="1" t="str">
        <f t="shared" si="37"/>
        <v/>
      </c>
      <c r="BA81" s="4"/>
      <c r="BB81" s="4"/>
      <c r="BC81" s="4"/>
      <c r="BD81" s="4"/>
      <c r="BE81" s="4"/>
      <c r="BF81" s="4"/>
      <c r="BG81" s="4"/>
      <c r="BH81" s="2" t="str">
        <f t="shared" si="38"/>
        <v/>
      </c>
      <c r="BI81" s="2" t="str">
        <f t="shared" si="39"/>
        <v/>
      </c>
      <c r="BJ81" s="4">
        <f t="shared" si="40"/>
        <v>27</v>
      </c>
      <c r="BK81" s="1" t="str">
        <f t="shared" si="41"/>
        <v/>
      </c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2" t="str">
        <f t="shared" si="42"/>
        <v/>
      </c>
      <c r="CB81" s="2" t="str">
        <f t="shared" si="43"/>
        <v/>
      </c>
      <c r="CC81" s="4">
        <f t="shared" si="44"/>
        <v>27</v>
      </c>
      <c r="CD81" s="1" t="str">
        <f t="shared" si="45"/>
        <v/>
      </c>
      <c r="CE81" s="4"/>
      <c r="CF81" s="4"/>
      <c r="CG81" s="4"/>
      <c r="CH81" s="2" t="str">
        <f t="shared" si="46"/>
        <v/>
      </c>
      <c r="CI81" s="2" t="str">
        <f t="shared" si="47"/>
        <v/>
      </c>
    </row>
    <row r="82" spans="2:87" ht="21.75" customHeight="1">
      <c r="B82" s="38">
        <v>28</v>
      </c>
      <c r="C82" s="41"/>
      <c r="D82" s="45"/>
      <c r="E82" s="45"/>
      <c r="F82" s="45"/>
      <c r="G82" s="45"/>
      <c r="H82" s="45"/>
      <c r="I82" s="45"/>
      <c r="J82" s="45"/>
      <c r="K82" s="39"/>
      <c r="L82" s="39"/>
      <c r="M82" s="39"/>
      <c r="N82" s="45"/>
      <c r="O82" s="45"/>
      <c r="R82" s="4">
        <f t="shared" si="24"/>
        <v>28</v>
      </c>
      <c r="S82" s="1" t="str">
        <f t="shared" si="25"/>
        <v/>
      </c>
      <c r="T82" s="4"/>
      <c r="U82" s="4"/>
      <c r="V82" s="4"/>
      <c r="W82" s="4"/>
      <c r="X82" s="4"/>
      <c r="Y82" s="4"/>
      <c r="Z82" s="4"/>
      <c r="AA82" s="2" t="str">
        <f t="shared" si="26"/>
        <v/>
      </c>
      <c r="AB82" s="2" t="str">
        <f t="shared" si="27"/>
        <v/>
      </c>
      <c r="AC82" s="4">
        <f t="shared" si="28"/>
        <v>28</v>
      </c>
      <c r="AD82" s="1" t="str">
        <f t="shared" si="29"/>
        <v/>
      </c>
      <c r="AE82" s="4"/>
      <c r="AF82" s="4"/>
      <c r="AG82" s="4"/>
      <c r="AH82" s="4"/>
      <c r="AI82" s="4"/>
      <c r="AJ82" s="4"/>
      <c r="AK82" s="4"/>
      <c r="AL82" s="2" t="str">
        <f t="shared" si="30"/>
        <v/>
      </c>
      <c r="AM82" s="2" t="str">
        <f t="shared" si="31"/>
        <v/>
      </c>
      <c r="AN82" s="4">
        <f t="shared" si="32"/>
        <v>28</v>
      </c>
      <c r="AO82" s="1" t="str">
        <f t="shared" si="33"/>
        <v/>
      </c>
      <c r="AP82" s="4"/>
      <c r="AQ82" s="4"/>
      <c r="AR82" s="4"/>
      <c r="AS82" s="4"/>
      <c r="AT82" s="4"/>
      <c r="AU82" s="4"/>
      <c r="AV82" s="4"/>
      <c r="AW82" s="2" t="str">
        <f t="shared" si="34"/>
        <v/>
      </c>
      <c r="AX82" s="23" t="str">
        <f t="shared" si="35"/>
        <v/>
      </c>
      <c r="AY82" s="4">
        <f t="shared" si="36"/>
        <v>28</v>
      </c>
      <c r="AZ82" s="1" t="str">
        <f t="shared" si="37"/>
        <v/>
      </c>
      <c r="BA82" s="4"/>
      <c r="BB82" s="4"/>
      <c r="BC82" s="4"/>
      <c r="BD82" s="4"/>
      <c r="BE82" s="4"/>
      <c r="BF82" s="4"/>
      <c r="BG82" s="4"/>
      <c r="BH82" s="2" t="str">
        <f t="shared" si="38"/>
        <v/>
      </c>
      <c r="BI82" s="2" t="str">
        <f t="shared" si="39"/>
        <v/>
      </c>
      <c r="BJ82" s="4">
        <f t="shared" si="40"/>
        <v>28</v>
      </c>
      <c r="BK82" s="1" t="str">
        <f t="shared" si="41"/>
        <v/>
      </c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2" t="str">
        <f t="shared" si="42"/>
        <v/>
      </c>
      <c r="CB82" s="2" t="str">
        <f t="shared" si="43"/>
        <v/>
      </c>
      <c r="CC82" s="4">
        <f t="shared" si="44"/>
        <v>28</v>
      </c>
      <c r="CD82" s="1" t="str">
        <f t="shared" si="45"/>
        <v/>
      </c>
      <c r="CE82" s="4"/>
      <c r="CF82" s="4"/>
      <c r="CG82" s="4"/>
      <c r="CH82" s="2" t="str">
        <f t="shared" si="46"/>
        <v/>
      </c>
      <c r="CI82" s="2" t="str">
        <f t="shared" si="47"/>
        <v/>
      </c>
    </row>
    <row r="83" spans="2:87" ht="21.75" customHeight="1">
      <c r="B83" s="38">
        <v>29</v>
      </c>
      <c r="C83" s="41"/>
      <c r="D83" s="45"/>
      <c r="E83" s="45"/>
      <c r="F83" s="45"/>
      <c r="G83" s="45"/>
      <c r="H83" s="45"/>
      <c r="I83" s="45"/>
      <c r="J83" s="45"/>
      <c r="K83" s="39"/>
      <c r="L83" s="39"/>
      <c r="M83" s="39"/>
      <c r="N83" s="45"/>
      <c r="O83" s="45"/>
      <c r="R83" s="4">
        <f t="shared" si="24"/>
        <v>29</v>
      </c>
      <c r="S83" s="1" t="str">
        <f t="shared" si="25"/>
        <v/>
      </c>
      <c r="T83" s="4"/>
      <c r="U83" s="4"/>
      <c r="V83" s="4"/>
      <c r="W83" s="4"/>
      <c r="X83" s="4"/>
      <c r="Y83" s="4"/>
      <c r="Z83" s="4"/>
      <c r="AA83" s="2" t="str">
        <f t="shared" si="26"/>
        <v/>
      </c>
      <c r="AB83" s="2" t="str">
        <f t="shared" si="27"/>
        <v/>
      </c>
      <c r="AC83" s="4">
        <f t="shared" si="28"/>
        <v>29</v>
      </c>
      <c r="AD83" s="1" t="str">
        <f t="shared" si="29"/>
        <v/>
      </c>
      <c r="AE83" s="4"/>
      <c r="AF83" s="4"/>
      <c r="AG83" s="4"/>
      <c r="AH83" s="4"/>
      <c r="AI83" s="4"/>
      <c r="AJ83" s="4"/>
      <c r="AK83" s="4"/>
      <c r="AL83" s="2" t="str">
        <f t="shared" si="30"/>
        <v/>
      </c>
      <c r="AM83" s="2" t="str">
        <f t="shared" si="31"/>
        <v/>
      </c>
      <c r="AN83" s="4">
        <f t="shared" si="32"/>
        <v>29</v>
      </c>
      <c r="AO83" s="1" t="str">
        <f t="shared" si="33"/>
        <v/>
      </c>
      <c r="AP83" s="4"/>
      <c r="AQ83" s="4"/>
      <c r="AR83" s="4"/>
      <c r="AS83" s="4"/>
      <c r="AT83" s="4"/>
      <c r="AU83" s="4"/>
      <c r="AV83" s="4"/>
      <c r="AW83" s="2" t="str">
        <f t="shared" si="34"/>
        <v/>
      </c>
      <c r="AX83" s="23" t="str">
        <f t="shared" si="35"/>
        <v/>
      </c>
      <c r="AY83" s="4">
        <f t="shared" si="36"/>
        <v>29</v>
      </c>
      <c r="AZ83" s="1" t="str">
        <f t="shared" si="37"/>
        <v/>
      </c>
      <c r="BA83" s="4"/>
      <c r="BB83" s="4"/>
      <c r="BC83" s="4"/>
      <c r="BD83" s="4"/>
      <c r="BE83" s="4"/>
      <c r="BF83" s="4"/>
      <c r="BG83" s="4"/>
      <c r="BH83" s="2" t="str">
        <f t="shared" si="38"/>
        <v/>
      </c>
      <c r="BI83" s="2" t="str">
        <f t="shared" si="39"/>
        <v/>
      </c>
      <c r="BJ83" s="4">
        <f t="shared" si="40"/>
        <v>29</v>
      </c>
      <c r="BK83" s="1" t="str">
        <f t="shared" si="41"/>
        <v/>
      </c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2" t="str">
        <f t="shared" si="42"/>
        <v/>
      </c>
      <c r="CB83" s="2" t="str">
        <f t="shared" si="43"/>
        <v/>
      </c>
      <c r="CC83" s="4">
        <f t="shared" si="44"/>
        <v>29</v>
      </c>
      <c r="CD83" s="1" t="str">
        <f t="shared" si="45"/>
        <v/>
      </c>
      <c r="CE83" s="4"/>
      <c r="CF83" s="4"/>
      <c r="CG83" s="4"/>
      <c r="CH83" s="2" t="str">
        <f t="shared" si="46"/>
        <v/>
      </c>
      <c r="CI83" s="2" t="str">
        <f t="shared" si="47"/>
        <v/>
      </c>
    </row>
    <row r="84" spans="2:87" ht="21.75" customHeight="1">
      <c r="B84" s="38">
        <v>30</v>
      </c>
      <c r="C84" s="41"/>
      <c r="D84" s="45"/>
      <c r="E84" s="45"/>
      <c r="F84" s="45"/>
      <c r="G84" s="45"/>
      <c r="H84" s="45"/>
      <c r="I84" s="45"/>
      <c r="J84" s="45"/>
      <c r="K84" s="39"/>
      <c r="L84" s="39"/>
      <c r="M84" s="39"/>
      <c r="N84" s="45"/>
      <c r="O84" s="45"/>
      <c r="R84" s="4">
        <f t="shared" si="24"/>
        <v>30</v>
      </c>
      <c r="S84" s="1" t="str">
        <f t="shared" si="25"/>
        <v/>
      </c>
      <c r="T84" s="4"/>
      <c r="U84" s="4"/>
      <c r="V84" s="4"/>
      <c r="W84" s="4"/>
      <c r="X84" s="4"/>
      <c r="Y84" s="4"/>
      <c r="Z84" s="4"/>
      <c r="AA84" s="2" t="str">
        <f t="shared" si="26"/>
        <v/>
      </c>
      <c r="AB84" s="2" t="str">
        <f t="shared" si="27"/>
        <v/>
      </c>
      <c r="AC84" s="4">
        <f t="shared" si="28"/>
        <v>30</v>
      </c>
      <c r="AD84" s="1" t="str">
        <f t="shared" si="29"/>
        <v/>
      </c>
      <c r="AE84" s="4"/>
      <c r="AF84" s="4"/>
      <c r="AG84" s="4"/>
      <c r="AH84" s="4"/>
      <c r="AI84" s="4"/>
      <c r="AJ84" s="4"/>
      <c r="AK84" s="4"/>
      <c r="AL84" s="2" t="str">
        <f t="shared" si="30"/>
        <v/>
      </c>
      <c r="AM84" s="2" t="str">
        <f t="shared" si="31"/>
        <v/>
      </c>
      <c r="AN84" s="4">
        <f t="shared" si="32"/>
        <v>30</v>
      </c>
      <c r="AO84" s="1" t="str">
        <f t="shared" si="33"/>
        <v/>
      </c>
      <c r="AP84" s="4"/>
      <c r="AQ84" s="4"/>
      <c r="AR84" s="4"/>
      <c r="AS84" s="4"/>
      <c r="AT84" s="4"/>
      <c r="AU84" s="4"/>
      <c r="AV84" s="4"/>
      <c r="AW84" s="2" t="str">
        <f t="shared" si="34"/>
        <v/>
      </c>
      <c r="AX84" s="23" t="str">
        <f t="shared" si="35"/>
        <v/>
      </c>
      <c r="AY84" s="4">
        <f t="shared" si="36"/>
        <v>30</v>
      </c>
      <c r="AZ84" s="1" t="str">
        <f t="shared" si="37"/>
        <v/>
      </c>
      <c r="BA84" s="4"/>
      <c r="BB84" s="4"/>
      <c r="BC84" s="4"/>
      <c r="BD84" s="4"/>
      <c r="BE84" s="4"/>
      <c r="BF84" s="4"/>
      <c r="BG84" s="4"/>
      <c r="BH84" s="2" t="str">
        <f t="shared" si="38"/>
        <v/>
      </c>
      <c r="BI84" s="2" t="str">
        <f t="shared" si="39"/>
        <v/>
      </c>
      <c r="BJ84" s="4">
        <f t="shared" si="40"/>
        <v>30</v>
      </c>
      <c r="BK84" s="1" t="str">
        <f t="shared" si="41"/>
        <v/>
      </c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2" t="str">
        <f t="shared" si="42"/>
        <v/>
      </c>
      <c r="CB84" s="2" t="str">
        <f t="shared" si="43"/>
        <v/>
      </c>
      <c r="CC84" s="4">
        <f t="shared" si="44"/>
        <v>30</v>
      </c>
      <c r="CD84" s="1" t="str">
        <f t="shared" si="45"/>
        <v/>
      </c>
      <c r="CE84" s="4"/>
      <c r="CF84" s="4"/>
      <c r="CG84" s="4"/>
      <c r="CH84" s="2" t="str">
        <f t="shared" si="46"/>
        <v/>
      </c>
      <c r="CI84" s="2" t="str">
        <f t="shared" si="47"/>
        <v/>
      </c>
    </row>
    <row r="85" spans="2:87" ht="21.75" customHeight="1">
      <c r="B85" s="38">
        <v>31</v>
      </c>
      <c r="C85" s="41"/>
      <c r="D85" s="45"/>
      <c r="E85" s="45"/>
      <c r="F85" s="45"/>
      <c r="G85" s="45"/>
      <c r="H85" s="45"/>
      <c r="I85" s="45"/>
      <c r="J85" s="45"/>
      <c r="K85" s="39"/>
      <c r="L85" s="39"/>
      <c r="M85" s="39"/>
      <c r="N85" s="45"/>
      <c r="O85" s="45"/>
      <c r="R85" s="4">
        <f t="shared" si="24"/>
        <v>31</v>
      </c>
      <c r="S85" s="1" t="str">
        <f t="shared" si="25"/>
        <v/>
      </c>
      <c r="T85" s="4"/>
      <c r="U85" s="4"/>
      <c r="V85" s="4"/>
      <c r="W85" s="4"/>
      <c r="X85" s="4"/>
      <c r="Y85" s="4"/>
      <c r="Z85" s="4"/>
      <c r="AA85" s="2" t="str">
        <f t="shared" si="26"/>
        <v/>
      </c>
      <c r="AB85" s="2" t="str">
        <f t="shared" si="27"/>
        <v/>
      </c>
      <c r="AC85" s="4">
        <f t="shared" si="28"/>
        <v>31</v>
      </c>
      <c r="AD85" s="1" t="str">
        <f t="shared" si="29"/>
        <v/>
      </c>
      <c r="AE85" s="4"/>
      <c r="AF85" s="4"/>
      <c r="AG85" s="4"/>
      <c r="AH85" s="4"/>
      <c r="AI85" s="4"/>
      <c r="AJ85" s="4"/>
      <c r="AK85" s="4"/>
      <c r="AL85" s="2" t="str">
        <f t="shared" si="30"/>
        <v/>
      </c>
      <c r="AM85" s="2" t="str">
        <f t="shared" si="31"/>
        <v/>
      </c>
      <c r="AN85" s="4">
        <f t="shared" si="32"/>
        <v>31</v>
      </c>
      <c r="AO85" s="1" t="str">
        <f t="shared" si="33"/>
        <v/>
      </c>
      <c r="AP85" s="4"/>
      <c r="AQ85" s="4"/>
      <c r="AR85" s="4"/>
      <c r="AS85" s="4"/>
      <c r="AT85" s="4"/>
      <c r="AU85" s="4"/>
      <c r="AV85" s="4"/>
      <c r="AW85" s="2" t="str">
        <f t="shared" si="34"/>
        <v/>
      </c>
      <c r="AX85" s="23" t="str">
        <f t="shared" si="35"/>
        <v/>
      </c>
      <c r="AY85" s="4">
        <f t="shared" si="36"/>
        <v>31</v>
      </c>
      <c r="AZ85" s="1" t="str">
        <f t="shared" si="37"/>
        <v/>
      </c>
      <c r="BA85" s="4"/>
      <c r="BB85" s="4"/>
      <c r="BC85" s="4"/>
      <c r="BD85" s="4"/>
      <c r="BE85" s="4"/>
      <c r="BF85" s="4"/>
      <c r="BG85" s="4"/>
      <c r="BH85" s="2" t="str">
        <f t="shared" si="38"/>
        <v/>
      </c>
      <c r="BI85" s="2" t="str">
        <f t="shared" si="39"/>
        <v/>
      </c>
      <c r="BJ85" s="4">
        <f t="shared" si="40"/>
        <v>31</v>
      </c>
      <c r="BK85" s="1" t="str">
        <f t="shared" si="41"/>
        <v/>
      </c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2" t="str">
        <f t="shared" si="42"/>
        <v/>
      </c>
      <c r="CB85" s="2" t="str">
        <f t="shared" si="43"/>
        <v/>
      </c>
      <c r="CC85" s="4">
        <f t="shared" si="44"/>
        <v>31</v>
      </c>
      <c r="CD85" s="1" t="str">
        <f t="shared" si="45"/>
        <v/>
      </c>
      <c r="CE85" s="4"/>
      <c r="CF85" s="4"/>
      <c r="CG85" s="4"/>
      <c r="CH85" s="2" t="str">
        <f t="shared" si="46"/>
        <v/>
      </c>
      <c r="CI85" s="2" t="str">
        <f t="shared" si="47"/>
        <v/>
      </c>
    </row>
    <row r="86" spans="2:87" ht="21.75" customHeight="1">
      <c r="B86" s="38">
        <v>32</v>
      </c>
      <c r="C86" s="41"/>
      <c r="D86" s="45"/>
      <c r="E86" s="45"/>
      <c r="F86" s="45"/>
      <c r="G86" s="45"/>
      <c r="H86" s="45"/>
      <c r="I86" s="45"/>
      <c r="J86" s="45"/>
      <c r="K86" s="39"/>
      <c r="L86" s="39"/>
      <c r="M86" s="39"/>
      <c r="N86" s="45"/>
      <c r="O86" s="45"/>
      <c r="R86" s="4">
        <f t="shared" si="24"/>
        <v>32</v>
      </c>
      <c r="S86" s="1" t="str">
        <f t="shared" si="25"/>
        <v/>
      </c>
      <c r="T86" s="4"/>
      <c r="U86" s="4"/>
      <c r="V86" s="4"/>
      <c r="W86" s="4"/>
      <c r="X86" s="4"/>
      <c r="Y86" s="4"/>
      <c r="Z86" s="4"/>
      <c r="AA86" s="2" t="str">
        <f t="shared" si="26"/>
        <v/>
      </c>
      <c r="AB86" s="2" t="str">
        <f t="shared" si="27"/>
        <v/>
      </c>
      <c r="AC86" s="4">
        <f t="shared" si="28"/>
        <v>32</v>
      </c>
      <c r="AD86" s="1" t="str">
        <f t="shared" si="29"/>
        <v/>
      </c>
      <c r="AE86" s="4"/>
      <c r="AF86" s="4"/>
      <c r="AG86" s="4"/>
      <c r="AH86" s="4"/>
      <c r="AI86" s="4"/>
      <c r="AJ86" s="4"/>
      <c r="AK86" s="4"/>
      <c r="AL86" s="2" t="str">
        <f t="shared" si="30"/>
        <v/>
      </c>
      <c r="AM86" s="2" t="str">
        <f t="shared" si="31"/>
        <v/>
      </c>
      <c r="AN86" s="4">
        <f t="shared" si="32"/>
        <v>32</v>
      </c>
      <c r="AO86" s="1" t="str">
        <f t="shared" si="33"/>
        <v/>
      </c>
      <c r="AP86" s="4"/>
      <c r="AQ86" s="4"/>
      <c r="AR86" s="4"/>
      <c r="AS86" s="4"/>
      <c r="AT86" s="4"/>
      <c r="AU86" s="4"/>
      <c r="AV86" s="4"/>
      <c r="AW86" s="2" t="str">
        <f t="shared" si="34"/>
        <v/>
      </c>
      <c r="AX86" s="23" t="str">
        <f t="shared" si="35"/>
        <v/>
      </c>
      <c r="AY86" s="4">
        <f t="shared" si="36"/>
        <v>32</v>
      </c>
      <c r="AZ86" s="1" t="str">
        <f t="shared" si="37"/>
        <v/>
      </c>
      <c r="BA86" s="4"/>
      <c r="BB86" s="4"/>
      <c r="BC86" s="4"/>
      <c r="BD86" s="4"/>
      <c r="BE86" s="4"/>
      <c r="BF86" s="4"/>
      <c r="BG86" s="4"/>
      <c r="BH86" s="2" t="str">
        <f t="shared" si="38"/>
        <v/>
      </c>
      <c r="BI86" s="2" t="str">
        <f t="shared" si="39"/>
        <v/>
      </c>
      <c r="BJ86" s="4">
        <f t="shared" si="40"/>
        <v>32</v>
      </c>
      <c r="BK86" s="1" t="str">
        <f t="shared" si="41"/>
        <v/>
      </c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2" t="str">
        <f t="shared" si="42"/>
        <v/>
      </c>
      <c r="CB86" s="2" t="str">
        <f t="shared" si="43"/>
        <v/>
      </c>
      <c r="CC86" s="4">
        <f t="shared" si="44"/>
        <v>32</v>
      </c>
      <c r="CD86" s="1" t="str">
        <f t="shared" si="45"/>
        <v/>
      </c>
      <c r="CE86" s="4"/>
      <c r="CF86" s="4"/>
      <c r="CG86" s="4"/>
      <c r="CH86" s="2" t="str">
        <f t="shared" si="46"/>
        <v/>
      </c>
      <c r="CI86" s="2" t="str">
        <f t="shared" si="47"/>
        <v/>
      </c>
    </row>
    <row r="87" spans="2:87" ht="21.75" customHeight="1">
      <c r="B87" s="38">
        <v>33</v>
      </c>
      <c r="C87" s="41"/>
      <c r="D87" s="45"/>
      <c r="E87" s="45"/>
      <c r="F87" s="45"/>
      <c r="G87" s="45"/>
      <c r="H87" s="45"/>
      <c r="I87" s="45"/>
      <c r="J87" s="45"/>
      <c r="K87" s="39"/>
      <c r="L87" s="39"/>
      <c r="M87" s="39"/>
      <c r="N87" s="45"/>
      <c r="O87" s="45"/>
      <c r="R87" s="4">
        <f t="shared" si="24"/>
        <v>33</v>
      </c>
      <c r="S87" s="1" t="str">
        <f t="shared" si="25"/>
        <v/>
      </c>
      <c r="T87" s="4"/>
      <c r="U87" s="4"/>
      <c r="V87" s="4"/>
      <c r="W87" s="4"/>
      <c r="X87" s="4"/>
      <c r="Y87" s="4"/>
      <c r="Z87" s="4"/>
      <c r="AA87" s="2" t="str">
        <f t="shared" si="26"/>
        <v/>
      </c>
      <c r="AB87" s="2" t="str">
        <f t="shared" si="27"/>
        <v/>
      </c>
      <c r="AC87" s="4">
        <f t="shared" si="28"/>
        <v>33</v>
      </c>
      <c r="AD87" s="1" t="str">
        <f t="shared" si="29"/>
        <v/>
      </c>
      <c r="AE87" s="4"/>
      <c r="AF87" s="4"/>
      <c r="AG87" s="4"/>
      <c r="AH87" s="4"/>
      <c r="AI87" s="4"/>
      <c r="AJ87" s="4"/>
      <c r="AK87" s="4"/>
      <c r="AL87" s="2" t="str">
        <f t="shared" si="30"/>
        <v/>
      </c>
      <c r="AM87" s="2" t="str">
        <f t="shared" si="31"/>
        <v/>
      </c>
      <c r="AN87" s="4">
        <f t="shared" si="32"/>
        <v>33</v>
      </c>
      <c r="AO87" s="1" t="str">
        <f t="shared" si="33"/>
        <v/>
      </c>
      <c r="AP87" s="4"/>
      <c r="AQ87" s="4"/>
      <c r="AR87" s="4"/>
      <c r="AS87" s="4"/>
      <c r="AT87" s="4"/>
      <c r="AU87" s="4"/>
      <c r="AV87" s="4"/>
      <c r="AW87" s="2" t="str">
        <f t="shared" si="34"/>
        <v/>
      </c>
      <c r="AX87" s="23" t="str">
        <f t="shared" si="35"/>
        <v/>
      </c>
      <c r="AY87" s="4">
        <f t="shared" si="36"/>
        <v>33</v>
      </c>
      <c r="AZ87" s="1" t="str">
        <f t="shared" si="37"/>
        <v/>
      </c>
      <c r="BA87" s="4"/>
      <c r="BB87" s="4"/>
      <c r="BC87" s="4"/>
      <c r="BD87" s="4"/>
      <c r="BE87" s="4"/>
      <c r="BF87" s="4"/>
      <c r="BG87" s="4"/>
      <c r="BH87" s="2" t="str">
        <f t="shared" si="38"/>
        <v/>
      </c>
      <c r="BI87" s="2" t="str">
        <f t="shared" si="39"/>
        <v/>
      </c>
      <c r="BJ87" s="4">
        <f t="shared" si="40"/>
        <v>33</v>
      </c>
      <c r="BK87" s="1" t="str">
        <f t="shared" si="41"/>
        <v/>
      </c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2" t="str">
        <f t="shared" si="42"/>
        <v/>
      </c>
      <c r="CB87" s="2" t="str">
        <f t="shared" si="43"/>
        <v/>
      </c>
      <c r="CC87" s="4">
        <f t="shared" si="44"/>
        <v>33</v>
      </c>
      <c r="CD87" s="1" t="str">
        <f t="shared" si="45"/>
        <v/>
      </c>
      <c r="CE87" s="4"/>
      <c r="CF87" s="4"/>
      <c r="CG87" s="4"/>
      <c r="CH87" s="2" t="str">
        <f t="shared" si="46"/>
        <v/>
      </c>
      <c r="CI87" s="2" t="str">
        <f t="shared" si="47"/>
        <v/>
      </c>
    </row>
    <row r="88" spans="2:87" ht="21.75" customHeight="1">
      <c r="B88" s="38">
        <v>34</v>
      </c>
      <c r="C88" s="41"/>
      <c r="D88" s="45"/>
      <c r="E88" s="45"/>
      <c r="F88" s="45"/>
      <c r="G88" s="45"/>
      <c r="H88" s="45"/>
      <c r="I88" s="45"/>
      <c r="J88" s="45"/>
      <c r="K88" s="39"/>
      <c r="L88" s="39"/>
      <c r="M88" s="39"/>
      <c r="N88" s="45"/>
      <c r="O88" s="45"/>
      <c r="R88" s="4">
        <f t="shared" si="24"/>
        <v>34</v>
      </c>
      <c r="S88" s="1" t="str">
        <f t="shared" si="25"/>
        <v/>
      </c>
      <c r="T88" s="4"/>
      <c r="U88" s="4"/>
      <c r="V88" s="4"/>
      <c r="W88" s="4"/>
      <c r="X88" s="4"/>
      <c r="Y88" s="4"/>
      <c r="Z88" s="4"/>
      <c r="AA88" s="2" t="str">
        <f t="shared" si="26"/>
        <v/>
      </c>
      <c r="AB88" s="2" t="str">
        <f t="shared" si="27"/>
        <v/>
      </c>
      <c r="AC88" s="4">
        <f t="shared" si="28"/>
        <v>34</v>
      </c>
      <c r="AD88" s="1" t="str">
        <f t="shared" si="29"/>
        <v/>
      </c>
      <c r="AE88" s="4"/>
      <c r="AF88" s="4"/>
      <c r="AG88" s="4"/>
      <c r="AH88" s="4"/>
      <c r="AI88" s="4"/>
      <c r="AJ88" s="4"/>
      <c r="AK88" s="4"/>
      <c r="AL88" s="2" t="str">
        <f t="shared" si="30"/>
        <v/>
      </c>
      <c r="AM88" s="2" t="str">
        <f t="shared" si="31"/>
        <v/>
      </c>
      <c r="AN88" s="4">
        <f t="shared" si="32"/>
        <v>34</v>
      </c>
      <c r="AO88" s="1" t="str">
        <f t="shared" si="33"/>
        <v/>
      </c>
      <c r="AP88" s="4"/>
      <c r="AQ88" s="4"/>
      <c r="AR88" s="4"/>
      <c r="AS88" s="4"/>
      <c r="AT88" s="4"/>
      <c r="AU88" s="4"/>
      <c r="AV88" s="4"/>
      <c r="AW88" s="2" t="str">
        <f t="shared" si="34"/>
        <v/>
      </c>
      <c r="AX88" s="23" t="str">
        <f t="shared" si="35"/>
        <v/>
      </c>
      <c r="AY88" s="4">
        <f t="shared" si="36"/>
        <v>34</v>
      </c>
      <c r="AZ88" s="1" t="str">
        <f t="shared" si="37"/>
        <v/>
      </c>
      <c r="BA88" s="4"/>
      <c r="BB88" s="4"/>
      <c r="BC88" s="4"/>
      <c r="BD88" s="4"/>
      <c r="BE88" s="4"/>
      <c r="BF88" s="4"/>
      <c r="BG88" s="4"/>
      <c r="BH88" s="2" t="str">
        <f t="shared" si="38"/>
        <v/>
      </c>
      <c r="BI88" s="2" t="str">
        <f t="shared" si="39"/>
        <v/>
      </c>
      <c r="BJ88" s="4">
        <f t="shared" si="40"/>
        <v>34</v>
      </c>
      <c r="BK88" s="1" t="str">
        <f t="shared" si="41"/>
        <v/>
      </c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2" t="str">
        <f t="shared" si="42"/>
        <v/>
      </c>
      <c r="CB88" s="2" t="str">
        <f t="shared" si="43"/>
        <v/>
      </c>
      <c r="CC88" s="4">
        <f t="shared" si="44"/>
        <v>34</v>
      </c>
      <c r="CD88" s="1" t="str">
        <f t="shared" si="45"/>
        <v/>
      </c>
      <c r="CE88" s="4"/>
      <c r="CF88" s="4"/>
      <c r="CG88" s="4"/>
      <c r="CH88" s="2" t="str">
        <f t="shared" si="46"/>
        <v/>
      </c>
      <c r="CI88" s="2" t="str">
        <f t="shared" si="47"/>
        <v/>
      </c>
    </row>
    <row r="89" spans="2:87" ht="21.75" customHeight="1">
      <c r="B89" s="38">
        <v>35</v>
      </c>
      <c r="C89" s="41"/>
      <c r="D89" s="45"/>
      <c r="E89" s="45"/>
      <c r="F89" s="45"/>
      <c r="G89" s="45"/>
      <c r="H89" s="45"/>
      <c r="I89" s="45"/>
      <c r="J89" s="45"/>
      <c r="K89" s="39"/>
      <c r="L89" s="39"/>
      <c r="M89" s="39"/>
      <c r="N89" s="45"/>
      <c r="O89" s="45"/>
      <c r="R89" s="4">
        <f t="shared" si="24"/>
        <v>35</v>
      </c>
      <c r="S89" s="1" t="str">
        <f t="shared" si="25"/>
        <v/>
      </c>
      <c r="T89" s="4"/>
      <c r="U89" s="4"/>
      <c r="V89" s="4"/>
      <c r="W89" s="4"/>
      <c r="X89" s="4"/>
      <c r="Y89" s="4"/>
      <c r="Z89" s="4"/>
      <c r="AA89" s="2" t="str">
        <f t="shared" si="26"/>
        <v/>
      </c>
      <c r="AB89" s="2" t="str">
        <f t="shared" si="27"/>
        <v/>
      </c>
      <c r="AC89" s="4">
        <f t="shared" si="28"/>
        <v>35</v>
      </c>
      <c r="AD89" s="1" t="str">
        <f t="shared" si="29"/>
        <v/>
      </c>
      <c r="AE89" s="4"/>
      <c r="AF89" s="4"/>
      <c r="AG89" s="4"/>
      <c r="AH89" s="4"/>
      <c r="AI89" s="4"/>
      <c r="AJ89" s="4"/>
      <c r="AK89" s="4"/>
      <c r="AL89" s="2" t="str">
        <f t="shared" si="30"/>
        <v/>
      </c>
      <c r="AM89" s="2" t="str">
        <f t="shared" si="31"/>
        <v/>
      </c>
      <c r="AN89" s="4">
        <f t="shared" si="32"/>
        <v>35</v>
      </c>
      <c r="AO89" s="1" t="str">
        <f t="shared" si="33"/>
        <v/>
      </c>
      <c r="AP89" s="4"/>
      <c r="AQ89" s="4"/>
      <c r="AR89" s="4"/>
      <c r="AS89" s="4"/>
      <c r="AT89" s="4"/>
      <c r="AU89" s="4"/>
      <c r="AV89" s="4"/>
      <c r="AW89" s="2" t="str">
        <f t="shared" si="34"/>
        <v/>
      </c>
      <c r="AX89" s="23" t="str">
        <f t="shared" si="35"/>
        <v/>
      </c>
      <c r="AY89" s="4">
        <f t="shared" si="36"/>
        <v>35</v>
      </c>
      <c r="AZ89" s="1" t="str">
        <f t="shared" si="37"/>
        <v/>
      </c>
      <c r="BA89" s="4"/>
      <c r="BB89" s="4"/>
      <c r="BC89" s="4"/>
      <c r="BD89" s="4"/>
      <c r="BE89" s="4"/>
      <c r="BF89" s="4"/>
      <c r="BG89" s="4"/>
      <c r="BH89" s="2" t="str">
        <f t="shared" si="38"/>
        <v/>
      </c>
      <c r="BI89" s="2" t="str">
        <f t="shared" si="39"/>
        <v/>
      </c>
      <c r="BJ89" s="4">
        <f t="shared" si="40"/>
        <v>35</v>
      </c>
      <c r="BK89" s="1" t="str">
        <f t="shared" si="41"/>
        <v/>
      </c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2" t="str">
        <f t="shared" si="42"/>
        <v/>
      </c>
      <c r="CB89" s="2" t="str">
        <f t="shared" si="43"/>
        <v/>
      </c>
      <c r="CC89" s="4">
        <f t="shared" si="44"/>
        <v>35</v>
      </c>
      <c r="CD89" s="1" t="str">
        <f t="shared" si="45"/>
        <v/>
      </c>
      <c r="CE89" s="4"/>
      <c r="CF89" s="4"/>
      <c r="CG89" s="4"/>
      <c r="CH89" s="2" t="str">
        <f t="shared" si="46"/>
        <v/>
      </c>
      <c r="CI89" s="2" t="str">
        <f t="shared" si="47"/>
        <v/>
      </c>
    </row>
    <row r="90" spans="2:87" ht="21.75" customHeight="1">
      <c r="B90" s="38">
        <v>36</v>
      </c>
      <c r="C90" s="41"/>
      <c r="D90" s="45"/>
      <c r="E90" s="45"/>
      <c r="F90" s="45"/>
      <c r="G90" s="45"/>
      <c r="H90" s="45"/>
      <c r="I90" s="45"/>
      <c r="J90" s="45"/>
      <c r="K90" s="39"/>
      <c r="L90" s="39"/>
      <c r="M90" s="39"/>
      <c r="N90" s="45"/>
      <c r="O90" s="45"/>
      <c r="R90" s="4">
        <f t="shared" si="24"/>
        <v>36</v>
      </c>
      <c r="S90" s="1" t="str">
        <f t="shared" si="25"/>
        <v/>
      </c>
      <c r="T90" s="4"/>
      <c r="U90" s="4"/>
      <c r="V90" s="4"/>
      <c r="W90" s="4"/>
      <c r="X90" s="4"/>
      <c r="Y90" s="4"/>
      <c r="Z90" s="4"/>
      <c r="AA90" s="2" t="str">
        <f t="shared" si="26"/>
        <v/>
      </c>
      <c r="AB90" s="2" t="str">
        <f t="shared" si="27"/>
        <v/>
      </c>
      <c r="AC90" s="4">
        <f t="shared" si="28"/>
        <v>36</v>
      </c>
      <c r="AD90" s="1" t="str">
        <f t="shared" si="29"/>
        <v/>
      </c>
      <c r="AE90" s="4"/>
      <c r="AF90" s="4"/>
      <c r="AG90" s="4"/>
      <c r="AH90" s="4"/>
      <c r="AI90" s="4"/>
      <c r="AJ90" s="4"/>
      <c r="AK90" s="4"/>
      <c r="AL90" s="2" t="str">
        <f t="shared" si="30"/>
        <v/>
      </c>
      <c r="AM90" s="2" t="str">
        <f t="shared" si="31"/>
        <v/>
      </c>
      <c r="AN90" s="4">
        <f t="shared" si="32"/>
        <v>36</v>
      </c>
      <c r="AO90" s="1" t="str">
        <f t="shared" si="33"/>
        <v/>
      </c>
      <c r="AP90" s="4"/>
      <c r="AQ90" s="4"/>
      <c r="AR90" s="4"/>
      <c r="AS90" s="4"/>
      <c r="AT90" s="4"/>
      <c r="AU90" s="4"/>
      <c r="AV90" s="4"/>
      <c r="AW90" s="2" t="str">
        <f t="shared" si="34"/>
        <v/>
      </c>
      <c r="AX90" s="23" t="str">
        <f t="shared" si="35"/>
        <v/>
      </c>
      <c r="AY90" s="4">
        <f t="shared" si="36"/>
        <v>36</v>
      </c>
      <c r="AZ90" s="1" t="str">
        <f t="shared" si="37"/>
        <v/>
      </c>
      <c r="BA90" s="4"/>
      <c r="BB90" s="4"/>
      <c r="BC90" s="4"/>
      <c r="BD90" s="4"/>
      <c r="BE90" s="4"/>
      <c r="BF90" s="4"/>
      <c r="BG90" s="4"/>
      <c r="BH90" s="2" t="str">
        <f t="shared" si="38"/>
        <v/>
      </c>
      <c r="BI90" s="2" t="str">
        <f t="shared" si="39"/>
        <v/>
      </c>
      <c r="BJ90" s="4">
        <f t="shared" si="40"/>
        <v>36</v>
      </c>
      <c r="BK90" s="1" t="str">
        <f t="shared" si="41"/>
        <v/>
      </c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2" t="str">
        <f t="shared" si="42"/>
        <v/>
      </c>
      <c r="CB90" s="2" t="str">
        <f t="shared" si="43"/>
        <v/>
      </c>
      <c r="CC90" s="4">
        <f t="shared" si="44"/>
        <v>36</v>
      </c>
      <c r="CD90" s="1" t="str">
        <f t="shared" si="45"/>
        <v/>
      </c>
      <c r="CE90" s="4"/>
      <c r="CF90" s="4"/>
      <c r="CG90" s="4"/>
      <c r="CH90" s="2" t="str">
        <f t="shared" si="46"/>
        <v/>
      </c>
      <c r="CI90" s="2" t="str">
        <f t="shared" si="47"/>
        <v/>
      </c>
    </row>
    <row r="91" spans="2:87" ht="21.75" customHeight="1">
      <c r="B91" s="38">
        <v>37</v>
      </c>
      <c r="C91" s="41"/>
      <c r="D91" s="45"/>
      <c r="E91" s="45"/>
      <c r="F91" s="45"/>
      <c r="G91" s="45"/>
      <c r="H91" s="45"/>
      <c r="I91" s="45"/>
      <c r="J91" s="45"/>
      <c r="K91" s="39"/>
      <c r="L91" s="39"/>
      <c r="M91" s="39"/>
      <c r="N91" s="45"/>
      <c r="O91" s="45"/>
      <c r="R91" s="4">
        <f t="shared" si="24"/>
        <v>37</v>
      </c>
      <c r="S91" s="1" t="str">
        <f t="shared" si="25"/>
        <v/>
      </c>
      <c r="T91" s="4"/>
      <c r="U91" s="4"/>
      <c r="V91" s="4"/>
      <c r="W91" s="4"/>
      <c r="X91" s="4"/>
      <c r="Y91" s="4"/>
      <c r="Z91" s="4"/>
      <c r="AA91" s="2" t="str">
        <f t="shared" si="26"/>
        <v/>
      </c>
      <c r="AB91" s="2" t="str">
        <f t="shared" si="27"/>
        <v/>
      </c>
      <c r="AC91" s="4">
        <f t="shared" si="28"/>
        <v>37</v>
      </c>
      <c r="AD91" s="1" t="str">
        <f t="shared" si="29"/>
        <v/>
      </c>
      <c r="AE91" s="4"/>
      <c r="AF91" s="4"/>
      <c r="AG91" s="4"/>
      <c r="AH91" s="4"/>
      <c r="AI91" s="4"/>
      <c r="AJ91" s="4"/>
      <c r="AK91" s="4"/>
      <c r="AL91" s="2" t="str">
        <f t="shared" si="30"/>
        <v/>
      </c>
      <c r="AM91" s="2" t="str">
        <f t="shared" si="31"/>
        <v/>
      </c>
      <c r="AN91" s="4">
        <f t="shared" si="32"/>
        <v>37</v>
      </c>
      <c r="AO91" s="1" t="str">
        <f t="shared" si="33"/>
        <v/>
      </c>
      <c r="AP91" s="4"/>
      <c r="AQ91" s="4"/>
      <c r="AR91" s="4"/>
      <c r="AS91" s="4"/>
      <c r="AT91" s="4"/>
      <c r="AU91" s="4"/>
      <c r="AV91" s="4"/>
      <c r="AW91" s="2" t="str">
        <f t="shared" si="34"/>
        <v/>
      </c>
      <c r="AX91" s="23" t="str">
        <f t="shared" si="35"/>
        <v/>
      </c>
      <c r="AY91" s="4">
        <f t="shared" si="36"/>
        <v>37</v>
      </c>
      <c r="AZ91" s="1" t="str">
        <f t="shared" si="37"/>
        <v/>
      </c>
      <c r="BA91" s="4"/>
      <c r="BB91" s="4"/>
      <c r="BC91" s="4"/>
      <c r="BD91" s="4"/>
      <c r="BE91" s="4"/>
      <c r="BF91" s="4"/>
      <c r="BG91" s="4"/>
      <c r="BH91" s="2" t="str">
        <f t="shared" si="38"/>
        <v/>
      </c>
      <c r="BI91" s="2" t="str">
        <f t="shared" si="39"/>
        <v/>
      </c>
      <c r="BJ91" s="4">
        <f t="shared" si="40"/>
        <v>37</v>
      </c>
      <c r="BK91" s="1" t="str">
        <f t="shared" si="41"/>
        <v/>
      </c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2" t="str">
        <f t="shared" si="42"/>
        <v/>
      </c>
      <c r="CB91" s="2" t="str">
        <f t="shared" si="43"/>
        <v/>
      </c>
      <c r="CC91" s="4">
        <f t="shared" si="44"/>
        <v>37</v>
      </c>
      <c r="CD91" s="1" t="str">
        <f t="shared" si="45"/>
        <v/>
      </c>
      <c r="CE91" s="4"/>
      <c r="CF91" s="4"/>
      <c r="CG91" s="4"/>
      <c r="CH91" s="2" t="str">
        <f t="shared" si="46"/>
        <v/>
      </c>
      <c r="CI91" s="2" t="str">
        <f t="shared" si="47"/>
        <v/>
      </c>
    </row>
    <row r="92" spans="2:87" ht="21.75" customHeight="1">
      <c r="B92" s="38">
        <v>38</v>
      </c>
      <c r="C92" s="41"/>
      <c r="D92" s="45"/>
      <c r="E92" s="45"/>
      <c r="F92" s="45"/>
      <c r="G92" s="45"/>
      <c r="H92" s="45"/>
      <c r="I92" s="45"/>
      <c r="J92" s="45"/>
      <c r="K92" s="39"/>
      <c r="L92" s="39"/>
      <c r="M92" s="39"/>
      <c r="N92" s="45"/>
      <c r="O92" s="45"/>
      <c r="R92" s="4">
        <f t="shared" si="24"/>
        <v>38</v>
      </c>
      <c r="S92" s="1" t="str">
        <f t="shared" si="25"/>
        <v/>
      </c>
      <c r="T92" s="4"/>
      <c r="U92" s="4"/>
      <c r="V92" s="4"/>
      <c r="W92" s="4"/>
      <c r="X92" s="4"/>
      <c r="Y92" s="4"/>
      <c r="Z92" s="4"/>
      <c r="AA92" s="2" t="str">
        <f t="shared" si="26"/>
        <v/>
      </c>
      <c r="AB92" s="2" t="str">
        <f t="shared" si="27"/>
        <v/>
      </c>
      <c r="AC92" s="4">
        <f t="shared" si="28"/>
        <v>38</v>
      </c>
      <c r="AD92" s="1" t="str">
        <f t="shared" si="29"/>
        <v/>
      </c>
      <c r="AE92" s="4"/>
      <c r="AF92" s="4"/>
      <c r="AG92" s="4"/>
      <c r="AH92" s="4"/>
      <c r="AI92" s="4"/>
      <c r="AJ92" s="4"/>
      <c r="AK92" s="4"/>
      <c r="AL92" s="2" t="str">
        <f t="shared" si="30"/>
        <v/>
      </c>
      <c r="AM92" s="2" t="str">
        <f t="shared" si="31"/>
        <v/>
      </c>
      <c r="AN92" s="4">
        <f t="shared" si="32"/>
        <v>38</v>
      </c>
      <c r="AO92" s="1" t="str">
        <f t="shared" si="33"/>
        <v/>
      </c>
      <c r="AP92" s="4"/>
      <c r="AQ92" s="4"/>
      <c r="AR92" s="4"/>
      <c r="AS92" s="4"/>
      <c r="AT92" s="4"/>
      <c r="AU92" s="4"/>
      <c r="AV92" s="4"/>
      <c r="AW92" s="2" t="str">
        <f t="shared" si="34"/>
        <v/>
      </c>
      <c r="AX92" s="23" t="str">
        <f t="shared" si="35"/>
        <v/>
      </c>
      <c r="AY92" s="4">
        <f t="shared" si="36"/>
        <v>38</v>
      </c>
      <c r="AZ92" s="1" t="str">
        <f t="shared" si="37"/>
        <v/>
      </c>
      <c r="BA92" s="4"/>
      <c r="BB92" s="4"/>
      <c r="BC92" s="4"/>
      <c r="BD92" s="4"/>
      <c r="BE92" s="4"/>
      <c r="BF92" s="4"/>
      <c r="BG92" s="4"/>
      <c r="BH92" s="2" t="str">
        <f t="shared" si="38"/>
        <v/>
      </c>
      <c r="BI92" s="2" t="str">
        <f t="shared" si="39"/>
        <v/>
      </c>
      <c r="BJ92" s="4">
        <f t="shared" si="40"/>
        <v>38</v>
      </c>
      <c r="BK92" s="1" t="str">
        <f t="shared" si="41"/>
        <v/>
      </c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2" t="str">
        <f t="shared" si="42"/>
        <v/>
      </c>
      <c r="CB92" s="2" t="str">
        <f t="shared" si="43"/>
        <v/>
      </c>
      <c r="CC92" s="4">
        <f t="shared" si="44"/>
        <v>38</v>
      </c>
      <c r="CD92" s="1" t="str">
        <f t="shared" si="45"/>
        <v/>
      </c>
      <c r="CE92" s="4"/>
      <c r="CF92" s="4"/>
      <c r="CG92" s="4"/>
      <c r="CH92" s="2" t="str">
        <f t="shared" si="46"/>
        <v/>
      </c>
      <c r="CI92" s="2" t="str">
        <f t="shared" si="47"/>
        <v/>
      </c>
    </row>
    <row r="93" spans="2:87" ht="21.75" customHeight="1">
      <c r="B93" s="38">
        <v>39</v>
      </c>
      <c r="C93" s="41"/>
      <c r="D93" s="45"/>
      <c r="E93" s="45"/>
      <c r="F93" s="45"/>
      <c r="G93" s="45"/>
      <c r="H93" s="45"/>
      <c r="I93" s="45"/>
      <c r="J93" s="45"/>
      <c r="K93" s="39"/>
      <c r="L93" s="39"/>
      <c r="M93" s="39"/>
      <c r="N93" s="45"/>
      <c r="O93" s="45"/>
      <c r="R93" s="4">
        <f t="shared" si="24"/>
        <v>39</v>
      </c>
      <c r="S93" s="1" t="str">
        <f t="shared" si="25"/>
        <v/>
      </c>
      <c r="T93" s="4"/>
      <c r="U93" s="4"/>
      <c r="V93" s="4"/>
      <c r="W93" s="4"/>
      <c r="X93" s="4"/>
      <c r="Y93" s="4"/>
      <c r="Z93" s="4"/>
      <c r="AA93" s="2" t="str">
        <f t="shared" si="26"/>
        <v/>
      </c>
      <c r="AB93" s="2" t="str">
        <f t="shared" si="27"/>
        <v/>
      </c>
      <c r="AC93" s="4">
        <f t="shared" si="28"/>
        <v>39</v>
      </c>
      <c r="AD93" s="1" t="str">
        <f t="shared" si="29"/>
        <v/>
      </c>
      <c r="AE93" s="4"/>
      <c r="AF93" s="4"/>
      <c r="AG93" s="4"/>
      <c r="AH93" s="4"/>
      <c r="AI93" s="4"/>
      <c r="AJ93" s="4"/>
      <c r="AK93" s="4"/>
      <c r="AL93" s="2" t="str">
        <f t="shared" si="30"/>
        <v/>
      </c>
      <c r="AM93" s="2" t="str">
        <f t="shared" si="31"/>
        <v/>
      </c>
      <c r="AN93" s="4">
        <f t="shared" si="32"/>
        <v>39</v>
      </c>
      <c r="AO93" s="1" t="str">
        <f t="shared" si="33"/>
        <v/>
      </c>
      <c r="AP93" s="4"/>
      <c r="AQ93" s="4"/>
      <c r="AR93" s="4"/>
      <c r="AS93" s="4"/>
      <c r="AT93" s="4"/>
      <c r="AU93" s="4"/>
      <c r="AV93" s="4"/>
      <c r="AW93" s="2" t="str">
        <f t="shared" si="34"/>
        <v/>
      </c>
      <c r="AX93" s="23" t="str">
        <f t="shared" si="35"/>
        <v/>
      </c>
      <c r="AY93" s="4">
        <f t="shared" si="36"/>
        <v>39</v>
      </c>
      <c r="AZ93" s="1" t="str">
        <f t="shared" si="37"/>
        <v/>
      </c>
      <c r="BA93" s="4"/>
      <c r="BB93" s="4"/>
      <c r="BC93" s="4"/>
      <c r="BD93" s="4"/>
      <c r="BE93" s="4"/>
      <c r="BF93" s="4"/>
      <c r="BG93" s="4"/>
      <c r="BH93" s="2" t="str">
        <f t="shared" si="38"/>
        <v/>
      </c>
      <c r="BI93" s="2" t="str">
        <f t="shared" si="39"/>
        <v/>
      </c>
      <c r="BJ93" s="4">
        <f t="shared" si="40"/>
        <v>39</v>
      </c>
      <c r="BK93" s="1" t="str">
        <f t="shared" si="41"/>
        <v/>
      </c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2" t="str">
        <f t="shared" si="42"/>
        <v/>
      </c>
      <c r="CB93" s="2"/>
      <c r="CC93" s="4">
        <f t="shared" si="44"/>
        <v>39</v>
      </c>
      <c r="CD93" s="1" t="str">
        <f t="shared" si="45"/>
        <v/>
      </c>
      <c r="CE93" s="4"/>
      <c r="CF93" s="4"/>
      <c r="CG93" s="4"/>
      <c r="CH93" s="2" t="str">
        <f t="shared" si="46"/>
        <v/>
      </c>
      <c r="CI93" s="2"/>
    </row>
    <row r="94" spans="2:87" ht="21.75" customHeight="1">
      <c r="B94" s="38">
        <v>40</v>
      </c>
      <c r="C94" s="41"/>
      <c r="D94" s="45"/>
      <c r="E94" s="45"/>
      <c r="F94" s="45"/>
      <c r="G94" s="45"/>
      <c r="H94" s="45"/>
      <c r="I94" s="45"/>
      <c r="J94" s="45"/>
      <c r="K94" s="39"/>
      <c r="L94" s="39"/>
      <c r="M94" s="39"/>
      <c r="N94" s="45"/>
      <c r="O94" s="45"/>
      <c r="R94" s="4">
        <f t="shared" si="24"/>
        <v>40</v>
      </c>
      <c r="S94" s="1" t="str">
        <f t="shared" si="25"/>
        <v/>
      </c>
      <c r="T94" s="4"/>
      <c r="U94" s="4"/>
      <c r="V94" s="4"/>
      <c r="W94" s="4"/>
      <c r="X94" s="4"/>
      <c r="Y94" s="4"/>
      <c r="Z94" s="4"/>
      <c r="AA94" s="2" t="str">
        <f t="shared" si="26"/>
        <v/>
      </c>
      <c r="AB94" s="2" t="str">
        <f t="shared" si="27"/>
        <v/>
      </c>
      <c r="AC94" s="4">
        <f t="shared" si="28"/>
        <v>40</v>
      </c>
      <c r="AD94" s="1" t="str">
        <f t="shared" si="29"/>
        <v/>
      </c>
      <c r="AE94" s="4"/>
      <c r="AF94" s="4"/>
      <c r="AG94" s="4"/>
      <c r="AH94" s="4"/>
      <c r="AI94" s="4"/>
      <c r="AJ94" s="4"/>
      <c r="AK94" s="4"/>
      <c r="AL94" s="2" t="str">
        <f t="shared" si="30"/>
        <v/>
      </c>
      <c r="AM94" s="2" t="str">
        <f t="shared" si="31"/>
        <v/>
      </c>
      <c r="AN94" s="4">
        <f t="shared" si="32"/>
        <v>40</v>
      </c>
      <c r="AO94" s="1" t="str">
        <f t="shared" si="33"/>
        <v/>
      </c>
      <c r="AP94" s="4"/>
      <c r="AQ94" s="4"/>
      <c r="AR94" s="4"/>
      <c r="AS94" s="4"/>
      <c r="AT94" s="4"/>
      <c r="AU94" s="4"/>
      <c r="AV94" s="4"/>
      <c r="AW94" s="2" t="str">
        <f t="shared" si="34"/>
        <v/>
      </c>
      <c r="AX94" s="23" t="str">
        <f t="shared" si="35"/>
        <v/>
      </c>
      <c r="AY94" s="4">
        <f t="shared" si="36"/>
        <v>40</v>
      </c>
      <c r="AZ94" s="1" t="str">
        <f t="shared" si="37"/>
        <v/>
      </c>
      <c r="BA94" s="4"/>
      <c r="BB94" s="4"/>
      <c r="BC94" s="4"/>
      <c r="BD94" s="4"/>
      <c r="BE94" s="4"/>
      <c r="BF94" s="4"/>
      <c r="BG94" s="4"/>
      <c r="BH94" s="2" t="str">
        <f t="shared" si="38"/>
        <v/>
      </c>
      <c r="BI94" s="2" t="str">
        <f t="shared" si="39"/>
        <v/>
      </c>
      <c r="BJ94" s="4">
        <f t="shared" si="40"/>
        <v>40</v>
      </c>
      <c r="BK94" s="1" t="str">
        <f t="shared" si="41"/>
        <v/>
      </c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2" t="str">
        <f t="shared" si="42"/>
        <v/>
      </c>
      <c r="CB94" s="2"/>
      <c r="CC94" s="4">
        <f t="shared" si="44"/>
        <v>40</v>
      </c>
      <c r="CD94" s="1" t="str">
        <f t="shared" si="45"/>
        <v/>
      </c>
      <c r="CE94" s="4"/>
      <c r="CF94" s="4"/>
      <c r="CG94" s="4"/>
      <c r="CH94" s="2" t="str">
        <f t="shared" si="46"/>
        <v/>
      </c>
      <c r="CI94" s="2"/>
    </row>
    <row r="95" spans="2:87" ht="21.75" hidden="1" customHeight="1">
      <c r="B95" s="38"/>
      <c r="C95" s="41"/>
      <c r="D95" s="45"/>
      <c r="E95" s="45"/>
      <c r="F95" s="45"/>
      <c r="G95" s="45"/>
      <c r="H95" s="45"/>
      <c r="I95" s="45"/>
      <c r="J95" s="45"/>
      <c r="K95" s="39"/>
      <c r="L95" s="39"/>
      <c r="M95" s="39"/>
      <c r="N95" s="45"/>
      <c r="O95" s="45"/>
      <c r="R95" s="4"/>
      <c r="S95" s="26"/>
      <c r="T95" s="4"/>
      <c r="U95" s="4"/>
      <c r="V95" s="4"/>
      <c r="W95" s="4"/>
      <c r="X95" s="4"/>
      <c r="Y95" s="4"/>
      <c r="Z95" s="4"/>
      <c r="AA95" s="2">
        <v>3</v>
      </c>
      <c r="AB95" s="2">
        <v>30</v>
      </c>
      <c r="AC95" s="4"/>
      <c r="AD95" s="26"/>
      <c r="AE95" s="4"/>
      <c r="AF95" s="4"/>
      <c r="AG95" s="4"/>
      <c r="AH95" s="4"/>
      <c r="AI95" s="4"/>
      <c r="AJ95" s="4"/>
      <c r="AK95" s="4"/>
      <c r="AL95" s="2">
        <v>3</v>
      </c>
      <c r="AM95" s="2">
        <v>30</v>
      </c>
      <c r="AN95" s="4"/>
      <c r="AO95" s="26"/>
      <c r="AP95" s="4"/>
      <c r="AQ95" s="4"/>
      <c r="AR95" s="4"/>
      <c r="AS95" s="4"/>
      <c r="AT95" s="4"/>
      <c r="AU95" s="4"/>
      <c r="AV95" s="4"/>
      <c r="AW95" s="2">
        <v>3</v>
      </c>
      <c r="AX95" s="23">
        <v>30</v>
      </c>
      <c r="AY95" s="4"/>
      <c r="AZ95" s="26"/>
      <c r="BA95" s="4"/>
      <c r="BB95" s="4"/>
      <c r="BC95" s="4"/>
      <c r="BD95" s="4"/>
      <c r="BE95" s="4"/>
      <c r="BF95" s="4"/>
      <c r="BG95" s="4"/>
      <c r="BH95" s="2">
        <v>3</v>
      </c>
      <c r="BI95" s="2">
        <v>30</v>
      </c>
      <c r="BJ95" s="4"/>
      <c r="BK95" s="26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2">
        <v>10</v>
      </c>
      <c r="CB95" s="2">
        <v>30</v>
      </c>
      <c r="CC95" s="4"/>
      <c r="CD95" s="26"/>
      <c r="CE95" s="4"/>
      <c r="CF95" s="4"/>
      <c r="CG95" s="4"/>
      <c r="CH95" s="2">
        <v>10</v>
      </c>
      <c r="CI95" s="2">
        <v>30</v>
      </c>
    </row>
    <row r="96" spans="2:87" ht="21.75" customHeight="1">
      <c r="B96" s="38"/>
      <c r="C96" s="48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R96" s="57" t="s">
        <v>38</v>
      </c>
      <c r="S96" s="58"/>
      <c r="T96" s="5"/>
      <c r="U96" s="5"/>
      <c r="V96" s="5"/>
      <c r="W96" s="5"/>
      <c r="X96" s="5"/>
      <c r="Y96" s="5"/>
      <c r="Z96" s="5"/>
      <c r="AA96" s="27" t="e">
        <f>IF(ISBLANK(AB96),"",AB96)</f>
        <v>#DIV/0!</v>
      </c>
      <c r="AB96" s="5" t="e">
        <f>AVERAGE(AB55:AB94)</f>
        <v>#DIV/0!</v>
      </c>
      <c r="AC96" s="57" t="s">
        <v>38</v>
      </c>
      <c r="AD96" s="58"/>
      <c r="AE96" s="5"/>
      <c r="AF96" s="5"/>
      <c r="AG96" s="5"/>
      <c r="AH96" s="5"/>
      <c r="AI96" s="5"/>
      <c r="AJ96" s="5"/>
      <c r="AK96" s="5"/>
      <c r="AL96" s="27" t="str">
        <f>IF(ISBLANK(AM96),"",AM96)</f>
        <v/>
      </c>
      <c r="AM96" s="5" t="str">
        <f>IF(ISERROR(AVERAGE(AM55:AM94)),"",AVERAGE(AM55:AM94))</f>
        <v/>
      </c>
      <c r="AN96" s="57" t="s">
        <v>38</v>
      </c>
      <c r="AO96" s="58"/>
      <c r="AP96" s="5"/>
      <c r="AQ96" s="5"/>
      <c r="AR96" s="5"/>
      <c r="AS96" s="5"/>
      <c r="AT96" s="5"/>
      <c r="AU96" s="5"/>
      <c r="AV96" s="5"/>
      <c r="AW96" s="27" t="str">
        <f>IF(ISBLANK(AX96),"",AX96)</f>
        <v/>
      </c>
      <c r="AX96" s="5" t="str">
        <f>IF(ISERROR(AVERAGE(AX55:AX94)),"",AVERAGE(AX55:AX94))</f>
        <v/>
      </c>
      <c r="AY96" s="57" t="s">
        <v>38</v>
      </c>
      <c r="AZ96" s="58"/>
      <c r="BA96" s="5"/>
      <c r="BB96" s="5"/>
      <c r="BC96" s="5"/>
      <c r="BD96" s="5"/>
      <c r="BE96" s="5"/>
      <c r="BF96" s="5"/>
      <c r="BG96" s="5"/>
      <c r="BH96" s="27" t="str">
        <f>IF(ISBLANK(BI96),"",BI96)</f>
        <v/>
      </c>
      <c r="BI96" s="5" t="str">
        <f>IF(ISERROR(AVERAGE(BI55:BI94)),"",AVERAGE(BI55:BI94))</f>
        <v/>
      </c>
      <c r="BJ96" s="57" t="s">
        <v>38</v>
      </c>
      <c r="BK96" s="58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27" t="str">
        <f>IF(ISBLANK(CB96),"",CB96)</f>
        <v/>
      </c>
      <c r="CB96" s="5" t="str">
        <f>IF(ISERROR(AVERAGE(CB55:CB94)),"",AVERAGE(CB55:CB94))</f>
        <v/>
      </c>
      <c r="CC96" s="57" t="s">
        <v>38</v>
      </c>
      <c r="CD96" s="58"/>
      <c r="CE96" s="5"/>
      <c r="CF96" s="5"/>
      <c r="CG96" s="5"/>
      <c r="CH96" s="27" t="str">
        <f>IF(ISBLANK(CI96),"",CI96)</f>
        <v/>
      </c>
      <c r="CI96" s="5" t="str">
        <f>IF(ISERROR(AVERAGE(CI55:CI94)),"",AVERAGE(CI55:CI94))</f>
        <v/>
      </c>
    </row>
    <row r="97" spans="2:87">
      <c r="B97" s="50"/>
      <c r="C97" s="50" t="s">
        <v>39</v>
      </c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</row>
    <row r="98" spans="2:87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R98" s="28" t="s">
        <v>40</v>
      </c>
      <c r="S98" s="28"/>
      <c r="T98" s="28" t="str">
        <f>IF(ISBLANK($G97),"",$G97)</f>
        <v/>
      </c>
      <c r="U98" s="28"/>
      <c r="V98" s="28"/>
      <c r="W98" s="28"/>
      <c r="X98" s="28"/>
      <c r="Y98" s="28"/>
      <c r="Z98" s="28"/>
      <c r="AA98" s="28"/>
      <c r="AB98" s="28"/>
      <c r="AC98" s="28" t="s">
        <v>40</v>
      </c>
      <c r="AD98" s="28"/>
      <c r="AE98" s="28" t="str">
        <f>IF(ISBLANK($G97),"",$G97)</f>
        <v/>
      </c>
      <c r="AF98" s="28"/>
      <c r="AG98" s="28"/>
      <c r="AH98" s="28"/>
      <c r="AI98" s="28"/>
      <c r="AJ98" s="28"/>
      <c r="AK98" s="28"/>
      <c r="AL98" s="28"/>
      <c r="AM98" s="28"/>
      <c r="AN98" s="28" t="s">
        <v>40</v>
      </c>
      <c r="AO98" s="28"/>
      <c r="AP98" s="28" t="str">
        <f>IF(ISBLANK($G97),"",$G97)</f>
        <v/>
      </c>
      <c r="AQ98" s="28"/>
      <c r="AR98" s="28"/>
      <c r="AS98" s="28"/>
      <c r="AT98" s="28"/>
      <c r="AU98" s="28"/>
      <c r="AV98" s="28"/>
      <c r="AW98" s="28"/>
      <c r="AX98" s="28"/>
      <c r="AY98" s="28" t="s">
        <v>40</v>
      </c>
      <c r="AZ98" s="28"/>
      <c r="BA98" s="28" t="str">
        <f>IF(ISBLANK($G97),"",$G97)</f>
        <v/>
      </c>
      <c r="BB98" s="28"/>
      <c r="BC98" s="28"/>
      <c r="BD98" s="28"/>
      <c r="BE98" s="28"/>
      <c r="BF98" s="28"/>
      <c r="BG98" s="28"/>
      <c r="BH98" s="28"/>
      <c r="BI98" s="28"/>
      <c r="BJ98" s="28" t="s">
        <v>40</v>
      </c>
      <c r="BK98" s="28"/>
      <c r="BL98" s="28"/>
      <c r="BM98" s="28"/>
      <c r="BN98" s="28"/>
      <c r="BO98" s="28"/>
      <c r="BP98" s="28" t="str">
        <f>IF(ISBLANK($G97),"",$G97)</f>
        <v/>
      </c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 t="s">
        <v>40</v>
      </c>
      <c r="CD98" s="28"/>
      <c r="CE98" s="28" t="str">
        <f>IF(ISBLANK($G97),"",$G97)</f>
        <v/>
      </c>
      <c r="CF98" s="28"/>
      <c r="CG98" s="28"/>
      <c r="CH98" s="28"/>
      <c r="CI98" s="28"/>
    </row>
    <row r="99" spans="2:87" ht="44.25" customHeight="1">
      <c r="B99" s="69" t="s">
        <v>17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R99" s="69" t="s">
        <v>18</v>
      </c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9" t="s">
        <v>18</v>
      </c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9" t="s">
        <v>18</v>
      </c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9" t="s">
        <v>18</v>
      </c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9" t="s">
        <v>19</v>
      </c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9" t="s">
        <v>19</v>
      </c>
      <c r="CD99" s="68"/>
      <c r="CE99" s="68"/>
      <c r="CF99" s="68"/>
      <c r="CG99" s="68"/>
      <c r="CH99" s="68"/>
      <c r="CI99" s="68"/>
    </row>
    <row r="100" spans="2:87" ht="25.5" customHeight="1">
      <c r="B100" s="43" t="s">
        <v>16</v>
      </c>
      <c r="C100" s="43"/>
      <c r="D100" s="44" t="s">
        <v>0</v>
      </c>
      <c r="E100" s="47"/>
      <c r="F100" s="44" t="s">
        <v>2</v>
      </c>
      <c r="G100" s="47"/>
      <c r="H100" s="43"/>
      <c r="I100" s="43"/>
      <c r="J100" s="43"/>
      <c r="K100" s="43"/>
      <c r="L100" s="43"/>
      <c r="M100" s="43"/>
      <c r="N100" s="43"/>
      <c r="O100" s="43"/>
      <c r="R100" s="13" t="str">
        <f>$B$2</f>
        <v>fan</v>
      </c>
      <c r="S100" s="14">
        <f>$C$2</f>
        <v>0</v>
      </c>
      <c r="T100" s="13" t="str">
        <f>$D$2</f>
        <v>chorak</v>
      </c>
      <c r="U100" s="14">
        <f>$E$2</f>
        <v>0</v>
      </c>
      <c r="V100" s="13" t="str">
        <f>$F$2</f>
        <v xml:space="preserve">sinf </v>
      </c>
      <c r="W100" s="14">
        <f>$G$2</f>
        <v>0</v>
      </c>
      <c r="X100" s="15"/>
      <c r="Y100" s="15"/>
      <c r="Z100" s="15"/>
      <c r="AA100" s="15" t="b">
        <f>IF(MAX(AA104:AA143)&gt;40,50,IF(MAX(AA104:AA143)&gt;20,25,IF(MAX(AA104:AA143)&gt;15,20,IF(MAX(AA104:AA143)&gt;8,10))))</f>
        <v>0</v>
      </c>
      <c r="AB100" s="16" t="s">
        <v>20</v>
      </c>
      <c r="AC100" s="13" t="str">
        <f>$B$2</f>
        <v>fan</v>
      </c>
      <c r="AD100" s="14">
        <f>$C$2</f>
        <v>0</v>
      </c>
      <c r="AE100" s="13" t="str">
        <f>$D$2</f>
        <v>chorak</v>
      </c>
      <c r="AF100" s="14">
        <f>$E$2</f>
        <v>0</v>
      </c>
      <c r="AG100" s="13" t="str">
        <f>$F$2</f>
        <v xml:space="preserve">sinf </v>
      </c>
      <c r="AH100" s="14">
        <f>$G$2</f>
        <v>0</v>
      </c>
      <c r="AI100" s="15"/>
      <c r="AJ100" s="15"/>
      <c r="AK100" s="15"/>
      <c r="AL100" s="15" t="b">
        <f>IF(MAX(AL104:AL143)&gt;40,50,IF(MAX(AL104:AL143)&gt;20,25,IF(MAX(AL104:AL143)&gt;15,20,IF(MAX(AL104:AL143)&gt;8,10))))</f>
        <v>0</v>
      </c>
      <c r="AM100" s="16" t="s">
        <v>20</v>
      </c>
      <c r="AN100" s="13" t="str">
        <f>$B$2</f>
        <v>fan</v>
      </c>
      <c r="AO100" s="14">
        <f>$C$2</f>
        <v>0</v>
      </c>
      <c r="AP100" s="13" t="str">
        <f>$D$2</f>
        <v>chorak</v>
      </c>
      <c r="AQ100" s="14">
        <f>$E$2</f>
        <v>0</v>
      </c>
      <c r="AR100" s="13" t="str">
        <f>$F$2</f>
        <v xml:space="preserve">sinf </v>
      </c>
      <c r="AS100" s="14">
        <f>$G$2</f>
        <v>0</v>
      </c>
      <c r="AT100" s="15"/>
      <c r="AU100" s="15"/>
      <c r="AV100" s="15"/>
      <c r="AW100" s="15" t="b">
        <f>IF(MAX(AW104:AW143)&gt;40,50,IF(MAX(AW104:AW143)&gt;20,25,IF(MAX(AW104:AW143)&gt;15,20,IF(MAX(AW104:AW143)&gt;8,10))))</f>
        <v>0</v>
      </c>
      <c r="AX100" s="16" t="s">
        <v>20</v>
      </c>
      <c r="AY100" s="13" t="str">
        <f>$B$2</f>
        <v>fan</v>
      </c>
      <c r="AZ100" s="14">
        <f>$C$2</f>
        <v>0</v>
      </c>
      <c r="BA100" s="13" t="str">
        <f>$D$2</f>
        <v>chorak</v>
      </c>
      <c r="BB100" s="14">
        <f>$E$2</f>
        <v>0</v>
      </c>
      <c r="BC100" s="13" t="str">
        <f>$F$2</f>
        <v xml:space="preserve">sinf </v>
      </c>
      <c r="BD100" s="14">
        <f>$G$2</f>
        <v>0</v>
      </c>
      <c r="BE100" s="15"/>
      <c r="BF100" s="15"/>
      <c r="BG100" s="15"/>
      <c r="BH100" s="15" t="b">
        <f>IF(MAX(BH104:BH143)&gt;40,50,IF(MAX(BH104:BH143)&gt;20,25,IF(MAX(BH104:BH143)&gt;15,20,IF(MAX(BH104:BH143)&gt;8,10))))</f>
        <v>0</v>
      </c>
      <c r="BI100" s="16" t="s">
        <v>20</v>
      </c>
      <c r="BJ100" s="17" t="s">
        <v>16</v>
      </c>
      <c r="BK100" s="18">
        <f>$C$2</f>
        <v>0</v>
      </c>
      <c r="BL100" s="70" t="s">
        <v>0</v>
      </c>
      <c r="BM100" s="68"/>
      <c r="BN100" s="68"/>
      <c r="BO100" s="18">
        <f>$E$2</f>
        <v>0</v>
      </c>
      <c r="BP100" s="19"/>
      <c r="BQ100" s="17"/>
      <c r="BR100" s="70" t="s">
        <v>2</v>
      </c>
      <c r="BS100" s="68"/>
      <c r="BT100" s="70">
        <f>$G$2</f>
        <v>0</v>
      </c>
      <c r="BU100" s="68"/>
      <c r="BV100" s="68"/>
      <c r="BW100" s="18"/>
      <c r="BX100" s="19"/>
      <c r="BY100" s="17"/>
      <c r="BZ100" s="18"/>
      <c r="CA100" s="18">
        <v>40</v>
      </c>
      <c r="CB100" s="20" t="s">
        <v>20</v>
      </c>
      <c r="CC100" s="17" t="s">
        <v>16</v>
      </c>
      <c r="CD100" s="18">
        <f>$C$2</f>
        <v>0</v>
      </c>
      <c r="CE100" s="19" t="str">
        <f>"chorak: "&amp;$E$2</f>
        <v xml:space="preserve">chorak: </v>
      </c>
      <c r="CF100" s="18"/>
      <c r="CG100" s="19" t="str">
        <f>"sinf: "&amp; $G$2</f>
        <v xml:space="preserve">sinf: </v>
      </c>
      <c r="CH100" s="18">
        <v>40</v>
      </c>
      <c r="CI100" s="20" t="s">
        <v>20</v>
      </c>
    </row>
    <row r="101" spans="2:87" ht="18.75">
      <c r="B101" s="67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R101" s="67"/>
      <c r="S101" s="68"/>
      <c r="T101" s="68"/>
      <c r="U101" s="68"/>
      <c r="V101" s="68"/>
      <c r="W101" s="68"/>
      <c r="X101" s="68"/>
      <c r="Y101" s="68"/>
      <c r="Z101" s="68"/>
      <c r="AA101" s="68"/>
      <c r="AC101" s="67"/>
      <c r="AD101" s="68"/>
      <c r="AE101" s="68"/>
      <c r="AF101" s="68"/>
      <c r="AG101" s="68"/>
      <c r="AH101" s="68"/>
      <c r="AI101" s="68"/>
      <c r="AJ101" s="68"/>
      <c r="AK101" s="68"/>
      <c r="AL101" s="68"/>
      <c r="AN101" s="67"/>
      <c r="AO101" s="68"/>
      <c r="AP101" s="68"/>
      <c r="AQ101" s="68"/>
      <c r="AR101" s="68"/>
      <c r="AS101" s="68"/>
      <c r="AT101" s="68"/>
      <c r="AU101" s="68"/>
      <c r="AV101" s="68"/>
      <c r="AW101" s="68"/>
      <c r="AY101" s="67"/>
      <c r="AZ101" s="68"/>
      <c r="BA101" s="68"/>
      <c r="BB101" s="68"/>
      <c r="BC101" s="68"/>
      <c r="BD101" s="68"/>
      <c r="BE101" s="68"/>
      <c r="BF101" s="68"/>
      <c r="BG101" s="68"/>
      <c r="BH101" s="68"/>
      <c r="BJ101" s="67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C101" s="67"/>
      <c r="CD101" s="68"/>
      <c r="CE101" s="68"/>
      <c r="CF101" s="68"/>
      <c r="CG101" s="68"/>
      <c r="CH101" s="68"/>
    </row>
    <row r="102" spans="2:87" ht="18" customHeight="1">
      <c r="B102" s="71" t="s">
        <v>21</v>
      </c>
      <c r="C102" s="71" t="s">
        <v>22</v>
      </c>
      <c r="D102" s="71" t="s">
        <v>23</v>
      </c>
      <c r="E102" s="60"/>
      <c r="F102" s="60"/>
      <c r="G102" s="60"/>
      <c r="H102" s="60"/>
      <c r="I102" s="60"/>
      <c r="J102" s="58"/>
      <c r="K102" s="46"/>
      <c r="L102" s="46"/>
      <c r="M102" s="46"/>
      <c r="N102" s="46"/>
      <c r="O102" s="71" t="s">
        <v>24</v>
      </c>
      <c r="P102" s="72" t="s">
        <v>16</v>
      </c>
      <c r="Q102" s="74" t="str">
        <f>IF(ISBLANK(C100),"",C100)</f>
        <v/>
      </c>
      <c r="R102" s="66" t="s">
        <v>21</v>
      </c>
      <c r="S102" s="66" t="s">
        <v>22</v>
      </c>
      <c r="T102" s="62" t="s">
        <v>25</v>
      </c>
      <c r="U102" s="60"/>
      <c r="V102" s="60"/>
      <c r="W102" s="60"/>
      <c r="X102" s="60"/>
      <c r="Y102" s="60"/>
      <c r="Z102" s="60"/>
      <c r="AA102" s="63" t="s">
        <v>26</v>
      </c>
      <c r="AB102" s="65" t="s">
        <v>27</v>
      </c>
      <c r="AC102" s="66" t="s">
        <v>21</v>
      </c>
      <c r="AD102" s="66" t="s">
        <v>22</v>
      </c>
      <c r="AE102" s="62" t="s">
        <v>25</v>
      </c>
      <c r="AF102" s="60"/>
      <c r="AG102" s="60"/>
      <c r="AH102" s="60"/>
      <c r="AI102" s="60"/>
      <c r="AJ102" s="60"/>
      <c r="AK102" s="60"/>
      <c r="AL102" s="63" t="s">
        <v>26</v>
      </c>
      <c r="AM102" s="65" t="s">
        <v>27</v>
      </c>
      <c r="AN102" s="66" t="s">
        <v>21</v>
      </c>
      <c r="AO102" s="66" t="s">
        <v>22</v>
      </c>
      <c r="AP102" s="62" t="s">
        <v>25</v>
      </c>
      <c r="AQ102" s="60"/>
      <c r="AR102" s="60"/>
      <c r="AS102" s="60"/>
      <c r="AT102" s="60"/>
      <c r="AU102" s="60"/>
      <c r="AV102" s="60"/>
      <c r="AW102" s="63" t="s">
        <v>26</v>
      </c>
      <c r="AX102" s="65" t="s">
        <v>27</v>
      </c>
      <c r="AY102" s="66" t="s">
        <v>21</v>
      </c>
      <c r="AZ102" s="66" t="s">
        <v>22</v>
      </c>
      <c r="BA102" s="62" t="s">
        <v>25</v>
      </c>
      <c r="BB102" s="60"/>
      <c r="BC102" s="60"/>
      <c r="BD102" s="60"/>
      <c r="BE102" s="60"/>
      <c r="BF102" s="60"/>
      <c r="BG102" s="60"/>
      <c r="BH102" s="63" t="s">
        <v>26</v>
      </c>
      <c r="BI102" s="65" t="s">
        <v>27</v>
      </c>
      <c r="BJ102" s="61" t="s">
        <v>21</v>
      </c>
      <c r="BK102" s="61" t="s">
        <v>22</v>
      </c>
      <c r="BL102" s="61" t="s">
        <v>25</v>
      </c>
      <c r="BM102" s="60"/>
      <c r="BN102" s="60"/>
      <c r="BO102" s="60"/>
      <c r="BP102" s="60"/>
      <c r="BQ102" s="60"/>
      <c r="BR102" s="60"/>
      <c r="BS102" s="60"/>
      <c r="BT102" s="60"/>
      <c r="BU102" s="60"/>
      <c r="BV102" s="60"/>
      <c r="BW102" s="60"/>
      <c r="BX102" s="60"/>
      <c r="BY102" s="60"/>
      <c r="BZ102" s="58"/>
      <c r="CA102" s="61" t="s">
        <v>28</v>
      </c>
      <c r="CB102" s="55" t="s">
        <v>27</v>
      </c>
      <c r="CC102" s="61" t="s">
        <v>21</v>
      </c>
      <c r="CD102" s="61" t="s">
        <v>22</v>
      </c>
      <c r="CE102" s="59" t="s">
        <v>25</v>
      </c>
      <c r="CF102" s="60"/>
      <c r="CG102" s="60"/>
      <c r="CH102" s="61" t="s">
        <v>28</v>
      </c>
      <c r="CI102" s="55" t="s">
        <v>27</v>
      </c>
    </row>
    <row r="103" spans="2:87" ht="52.15" customHeight="1">
      <c r="B103" s="56"/>
      <c r="C103" s="56"/>
      <c r="D103" s="51" t="s">
        <v>29</v>
      </c>
      <c r="E103" s="51" t="s">
        <v>29</v>
      </c>
      <c r="F103" s="51" t="s">
        <v>29</v>
      </c>
      <c r="G103" s="51" t="s">
        <v>30</v>
      </c>
      <c r="H103" s="51" t="s">
        <v>31</v>
      </c>
      <c r="I103" s="51" t="s">
        <v>32</v>
      </c>
      <c r="J103" s="51" t="s">
        <v>33</v>
      </c>
      <c r="K103" s="51"/>
      <c r="L103" s="51"/>
      <c r="M103" s="51"/>
      <c r="N103" s="51" t="s">
        <v>34</v>
      </c>
      <c r="O103" s="56"/>
      <c r="P103" s="73"/>
      <c r="Q103" s="75"/>
      <c r="R103" s="56"/>
      <c r="S103" s="56"/>
      <c r="T103" s="21">
        <v>1</v>
      </c>
      <c r="U103" s="21">
        <v>2</v>
      </c>
      <c r="V103" s="21">
        <v>3</v>
      </c>
      <c r="W103" s="21">
        <v>4</v>
      </c>
      <c r="X103" s="21">
        <v>5</v>
      </c>
      <c r="Y103" s="21">
        <v>6</v>
      </c>
      <c r="Z103" s="21">
        <v>7</v>
      </c>
      <c r="AA103" s="64"/>
      <c r="AB103" s="56"/>
      <c r="AC103" s="56"/>
      <c r="AD103" s="56"/>
      <c r="AE103" s="21">
        <v>1</v>
      </c>
      <c r="AF103" s="21">
        <v>2</v>
      </c>
      <c r="AG103" s="21">
        <v>3</v>
      </c>
      <c r="AH103" s="21">
        <v>4</v>
      </c>
      <c r="AI103" s="21">
        <v>5</v>
      </c>
      <c r="AJ103" s="21">
        <v>6</v>
      </c>
      <c r="AK103" s="21">
        <v>7</v>
      </c>
      <c r="AL103" s="64"/>
      <c r="AM103" s="56"/>
      <c r="AN103" s="56"/>
      <c r="AO103" s="56"/>
      <c r="AP103" s="21">
        <v>1</v>
      </c>
      <c r="AQ103" s="21">
        <v>2</v>
      </c>
      <c r="AR103" s="21">
        <v>3</v>
      </c>
      <c r="AS103" s="21">
        <v>4</v>
      </c>
      <c r="AT103" s="21">
        <v>5</v>
      </c>
      <c r="AU103" s="21">
        <v>6</v>
      </c>
      <c r="AV103" s="21">
        <v>7</v>
      </c>
      <c r="AW103" s="64"/>
      <c r="AX103" s="56"/>
      <c r="AY103" s="56"/>
      <c r="AZ103" s="56"/>
      <c r="BA103" s="21">
        <v>1</v>
      </c>
      <c r="BB103" s="21">
        <v>2</v>
      </c>
      <c r="BC103" s="21">
        <v>3</v>
      </c>
      <c r="BD103" s="21">
        <v>4</v>
      </c>
      <c r="BE103" s="21">
        <v>5</v>
      </c>
      <c r="BF103" s="21">
        <v>6</v>
      </c>
      <c r="BG103" s="21">
        <v>7</v>
      </c>
      <c r="BH103" s="64"/>
      <c r="BI103" s="56"/>
      <c r="BJ103" s="56"/>
      <c r="BK103" s="56"/>
      <c r="BL103" s="22">
        <v>1</v>
      </c>
      <c r="BM103" s="22">
        <v>2</v>
      </c>
      <c r="BN103" s="22">
        <v>3</v>
      </c>
      <c r="BO103" s="22">
        <v>4</v>
      </c>
      <c r="BP103" s="22">
        <v>5</v>
      </c>
      <c r="BQ103" s="22">
        <v>6</v>
      </c>
      <c r="BR103" s="22">
        <v>7</v>
      </c>
      <c r="BS103" s="22">
        <v>8</v>
      </c>
      <c r="BT103" s="22">
        <v>9</v>
      </c>
      <c r="BU103" s="22">
        <v>10</v>
      </c>
      <c r="BV103" s="22">
        <v>11</v>
      </c>
      <c r="BW103" s="22">
        <v>12</v>
      </c>
      <c r="BX103" s="22">
        <v>13</v>
      </c>
      <c r="BY103" s="22">
        <v>14</v>
      </c>
      <c r="BZ103" s="22">
        <v>15</v>
      </c>
      <c r="CA103" s="56"/>
      <c r="CB103" s="56"/>
      <c r="CC103" s="56"/>
      <c r="CD103" s="56"/>
      <c r="CE103" s="22" t="s">
        <v>35</v>
      </c>
      <c r="CF103" s="22" t="s">
        <v>36</v>
      </c>
      <c r="CG103" s="22" t="s">
        <v>37</v>
      </c>
      <c r="CH103" s="56"/>
      <c r="CI103" s="56"/>
    </row>
    <row r="104" spans="2:87" ht="21.75" customHeight="1">
      <c r="B104" s="38">
        <v>1</v>
      </c>
      <c r="C104" s="41"/>
      <c r="D104" s="45"/>
      <c r="E104" s="45"/>
      <c r="F104" s="45"/>
      <c r="G104" s="45"/>
      <c r="H104" s="45"/>
      <c r="I104" s="45"/>
      <c r="J104" s="45"/>
      <c r="K104" s="53"/>
      <c r="L104" s="53"/>
      <c r="M104" s="53"/>
      <c r="N104" s="45"/>
      <c r="O104" s="45"/>
      <c r="P104" s="29" t="s">
        <v>10</v>
      </c>
      <c r="Q104" s="32" t="str">
        <f>IF(ISBLANK(G100),"",G100)</f>
        <v/>
      </c>
      <c r="R104" s="4">
        <f t="shared" ref="R104:R143" si="48">IF(ISBLANK($B104),"",$B104)</f>
        <v>1</v>
      </c>
      <c r="S104" s="1" t="str">
        <f t="shared" ref="S104:S143" si="49">IF(ISBLANK($C104),"",$C104)</f>
        <v/>
      </c>
      <c r="T104" s="4"/>
      <c r="U104" s="4"/>
      <c r="V104" s="4"/>
      <c r="W104" s="4"/>
      <c r="X104" s="4"/>
      <c r="Y104" s="4"/>
      <c r="Z104" s="4"/>
      <c r="AA104" s="2" t="str">
        <f t="shared" ref="AA104:AA143" si="50">IF(ISBLANK($D104),"",$D104)</f>
        <v/>
      </c>
      <c r="AB104" s="2" t="str">
        <f t="shared" ref="AB104:AB143" si="51">IF(OR(ISBLANK(AA104),AA104=""),"",AA104*100/AA$2)</f>
        <v/>
      </c>
      <c r="AC104" s="4">
        <f t="shared" ref="AC104:AC143" si="52">IF(ISBLANK($B104),"",$B104)</f>
        <v>1</v>
      </c>
      <c r="AD104" s="1" t="str">
        <f t="shared" ref="AD104:AD143" si="53">IF(ISBLANK($C104),"",$C104)</f>
        <v/>
      </c>
      <c r="AE104" s="4"/>
      <c r="AF104" s="4"/>
      <c r="AG104" s="4"/>
      <c r="AH104" s="4"/>
      <c r="AI104" s="4"/>
      <c r="AJ104" s="4"/>
      <c r="AK104" s="4"/>
      <c r="AL104" s="2" t="str">
        <f t="shared" ref="AL104:AL143" si="54">IF(ISBLANK($E104),"",$E104)</f>
        <v/>
      </c>
      <c r="AM104" s="2" t="str">
        <f t="shared" ref="AM104:AM143" si="55">IF(OR(ISBLANK(AL104),AL104=""),"",AL104*100/AL$2)</f>
        <v/>
      </c>
      <c r="AN104" s="4">
        <f t="shared" ref="AN104:AN143" si="56">IF(ISBLANK($B104),"",$B104)</f>
        <v>1</v>
      </c>
      <c r="AO104" s="1" t="str">
        <f t="shared" ref="AO104:AO143" si="57">IF(ISBLANK($C104),"",$C104)</f>
        <v/>
      </c>
      <c r="AP104" s="4"/>
      <c r="AQ104" s="4"/>
      <c r="AR104" s="4"/>
      <c r="AS104" s="4"/>
      <c r="AT104" s="4"/>
      <c r="AU104" s="4"/>
      <c r="AV104" s="4"/>
      <c r="AW104" s="2" t="str">
        <f t="shared" ref="AW104:AW143" si="58">IF(ISBLANK($F104),"",$F104)</f>
        <v/>
      </c>
      <c r="AX104" s="23" t="str">
        <f t="shared" ref="AX104:AX143" si="59">IF(OR(ISBLANK(AW104),AW104=""),"",AW104*100/AW$2)</f>
        <v/>
      </c>
      <c r="AY104" s="4">
        <f t="shared" ref="AY104:AY143" si="60">IF(ISBLANK($B104),"",$B104)</f>
        <v>1</v>
      </c>
      <c r="AZ104" s="1" t="str">
        <f t="shared" ref="AZ104:AZ143" si="61">IF(ISBLANK($C104),"",$C104)</f>
        <v/>
      </c>
      <c r="BA104" s="4"/>
      <c r="BB104" s="4"/>
      <c r="BC104" s="4"/>
      <c r="BD104" s="4"/>
      <c r="BE104" s="4"/>
      <c r="BF104" s="4"/>
      <c r="BG104" s="4"/>
      <c r="BH104" s="2" t="str">
        <f t="shared" ref="BH104:BH143" si="62">IF(ISBLANK($G104),"",$G104)</f>
        <v/>
      </c>
      <c r="BI104" s="2" t="str">
        <f t="shared" ref="BI104:BI143" si="63">IF(OR(ISBLANK(BH104),BH104=""),"",BH104*100/BH$2)</f>
        <v/>
      </c>
      <c r="BJ104" s="4">
        <f t="shared" ref="BJ104:BJ143" si="64">IF(ISBLANK($B104),"",$B104)</f>
        <v>1</v>
      </c>
      <c r="BK104" s="1" t="str">
        <f t="shared" ref="BK104:BK143" si="65">IF(ISBLANK($C104),"",$C104)</f>
        <v/>
      </c>
      <c r="BL104" s="23"/>
      <c r="BM104" s="23"/>
      <c r="BN104" s="23"/>
      <c r="BO104" s="4"/>
      <c r="BP104" s="24"/>
      <c r="BQ104" s="23"/>
      <c r="BR104" s="4"/>
      <c r="BS104" s="24"/>
      <c r="BT104" s="23"/>
      <c r="BU104" s="23"/>
      <c r="BV104" s="23"/>
      <c r="BW104" s="4"/>
      <c r="BX104" s="24"/>
      <c r="BY104" s="23"/>
      <c r="BZ104" s="4"/>
      <c r="CA104" s="2" t="str">
        <f t="shared" ref="CA104:CA143" si="66">IF(ISBLANK($I104),"",$I104)</f>
        <v/>
      </c>
      <c r="CB104" s="2" t="str">
        <f t="shared" ref="CB104:CB141" si="67">IF(OR(ISBLANK(CA104),CA104=""),"",CA104*100/CA$2)</f>
        <v/>
      </c>
      <c r="CC104" s="4">
        <f t="shared" ref="CC104:CC143" si="68">IF(ISBLANK($B104),"",$B104)</f>
        <v>1</v>
      </c>
      <c r="CD104" s="1" t="str">
        <f t="shared" ref="CD104:CD143" si="69">IF(ISBLANK($C104),"",$C104)</f>
        <v/>
      </c>
      <c r="CE104" s="23"/>
      <c r="CF104" s="4"/>
      <c r="CG104" s="4"/>
      <c r="CH104" s="2" t="str">
        <f t="shared" ref="CH104:CH143" si="70">IF(ISBLANK($I104),"",$I104)</f>
        <v/>
      </c>
      <c r="CI104" s="2" t="str">
        <f t="shared" ref="CI104:CI141" si="71">IF(OR(ISBLANK(CH104),CH104=""),"",CH104*100/CH$2)</f>
        <v/>
      </c>
    </row>
    <row r="105" spans="2:87" ht="21.75" customHeight="1">
      <c r="B105" s="38">
        <v>2</v>
      </c>
      <c r="C105" s="41"/>
      <c r="D105" s="45"/>
      <c r="E105" s="45"/>
      <c r="F105" s="45"/>
      <c r="G105" s="45"/>
      <c r="H105" s="45"/>
      <c r="I105" s="45"/>
      <c r="J105" s="45"/>
      <c r="K105" s="53"/>
      <c r="L105" s="53"/>
      <c r="M105" s="53"/>
      <c r="N105" s="45"/>
      <c r="O105" s="45"/>
      <c r="P105" s="29" t="s">
        <v>11</v>
      </c>
      <c r="Q105" s="32">
        <v>3</v>
      </c>
      <c r="R105" s="4">
        <f t="shared" si="48"/>
        <v>2</v>
      </c>
      <c r="S105" s="1" t="str">
        <f t="shared" si="49"/>
        <v/>
      </c>
      <c r="T105" s="4"/>
      <c r="U105" s="4"/>
      <c r="V105" s="4"/>
      <c r="W105" s="4"/>
      <c r="X105" s="4"/>
      <c r="Y105" s="4"/>
      <c r="Z105" s="4"/>
      <c r="AA105" s="2" t="str">
        <f t="shared" si="50"/>
        <v/>
      </c>
      <c r="AB105" s="2" t="str">
        <f t="shared" si="51"/>
        <v/>
      </c>
      <c r="AC105" s="4">
        <f t="shared" si="52"/>
        <v>2</v>
      </c>
      <c r="AD105" s="1" t="str">
        <f t="shared" si="53"/>
        <v/>
      </c>
      <c r="AE105" s="4"/>
      <c r="AF105" s="4"/>
      <c r="AG105" s="4"/>
      <c r="AH105" s="4"/>
      <c r="AI105" s="4"/>
      <c r="AJ105" s="4"/>
      <c r="AK105" s="4"/>
      <c r="AL105" s="2" t="str">
        <f t="shared" si="54"/>
        <v/>
      </c>
      <c r="AM105" s="2" t="str">
        <f t="shared" si="55"/>
        <v/>
      </c>
      <c r="AN105" s="4">
        <f t="shared" si="56"/>
        <v>2</v>
      </c>
      <c r="AO105" s="1" t="str">
        <f t="shared" si="57"/>
        <v/>
      </c>
      <c r="AP105" s="4"/>
      <c r="AQ105" s="4"/>
      <c r="AR105" s="4"/>
      <c r="AS105" s="4"/>
      <c r="AT105" s="4"/>
      <c r="AU105" s="4"/>
      <c r="AV105" s="4"/>
      <c r="AW105" s="2" t="str">
        <f t="shared" si="58"/>
        <v/>
      </c>
      <c r="AX105" s="23" t="str">
        <f t="shared" si="59"/>
        <v/>
      </c>
      <c r="AY105" s="4">
        <f t="shared" si="60"/>
        <v>2</v>
      </c>
      <c r="AZ105" s="1" t="str">
        <f t="shared" si="61"/>
        <v/>
      </c>
      <c r="BA105" s="4"/>
      <c r="BB105" s="4"/>
      <c r="BC105" s="4"/>
      <c r="BD105" s="4"/>
      <c r="BE105" s="4"/>
      <c r="BF105" s="4"/>
      <c r="BG105" s="4"/>
      <c r="BH105" s="2" t="str">
        <f t="shared" si="62"/>
        <v/>
      </c>
      <c r="BI105" s="2" t="str">
        <f t="shared" si="63"/>
        <v/>
      </c>
      <c r="BJ105" s="4">
        <f t="shared" si="64"/>
        <v>2</v>
      </c>
      <c r="BK105" s="1" t="str">
        <f t="shared" si="65"/>
        <v/>
      </c>
      <c r="BL105" s="23"/>
      <c r="BM105" s="23"/>
      <c r="BN105" s="23"/>
      <c r="BO105" s="4"/>
      <c r="BP105" s="24"/>
      <c r="BQ105" s="23"/>
      <c r="BR105" s="4"/>
      <c r="BS105" s="24"/>
      <c r="BT105" s="23"/>
      <c r="BU105" s="23"/>
      <c r="BV105" s="23"/>
      <c r="BW105" s="4"/>
      <c r="BX105" s="24"/>
      <c r="BY105" s="23"/>
      <c r="BZ105" s="4"/>
      <c r="CA105" s="2" t="str">
        <f t="shared" si="66"/>
        <v/>
      </c>
      <c r="CB105" s="2" t="str">
        <f t="shared" si="67"/>
        <v/>
      </c>
      <c r="CC105" s="4">
        <f t="shared" si="68"/>
        <v>2</v>
      </c>
      <c r="CD105" s="1" t="str">
        <f t="shared" si="69"/>
        <v/>
      </c>
      <c r="CE105" s="23"/>
      <c r="CF105" s="4"/>
      <c r="CG105" s="4"/>
      <c r="CH105" s="2" t="str">
        <f t="shared" si="70"/>
        <v/>
      </c>
      <c r="CI105" s="2" t="str">
        <f t="shared" si="71"/>
        <v/>
      </c>
    </row>
    <row r="106" spans="2:87" ht="21.75" customHeight="1">
      <c r="B106" s="38">
        <v>3</v>
      </c>
      <c r="C106" s="41"/>
      <c r="D106" s="45"/>
      <c r="E106" s="45"/>
      <c r="F106" s="45"/>
      <c r="G106" s="45"/>
      <c r="H106" s="45"/>
      <c r="I106" s="45"/>
      <c r="J106" s="45"/>
      <c r="K106" s="53"/>
      <c r="L106" s="53"/>
      <c r="M106" s="53"/>
      <c r="N106" s="45"/>
      <c r="O106" s="45"/>
      <c r="P106" s="30" t="s">
        <v>38</v>
      </c>
      <c r="Q106" s="33" t="str">
        <f>IF(ISBLANK(C104),"",AVERAGE(J104:J143))</f>
        <v/>
      </c>
      <c r="R106" s="4">
        <f t="shared" si="48"/>
        <v>3</v>
      </c>
      <c r="S106" s="1" t="str">
        <f t="shared" si="49"/>
        <v/>
      </c>
      <c r="T106" s="4"/>
      <c r="U106" s="4"/>
      <c r="V106" s="4"/>
      <c r="W106" s="4"/>
      <c r="X106" s="4"/>
      <c r="Y106" s="4"/>
      <c r="Z106" s="4"/>
      <c r="AA106" s="2" t="str">
        <f t="shared" si="50"/>
        <v/>
      </c>
      <c r="AB106" s="2" t="str">
        <f t="shared" si="51"/>
        <v/>
      </c>
      <c r="AC106" s="4">
        <f t="shared" si="52"/>
        <v>3</v>
      </c>
      <c r="AD106" s="1" t="str">
        <f t="shared" si="53"/>
        <v/>
      </c>
      <c r="AE106" s="4"/>
      <c r="AF106" s="4"/>
      <c r="AG106" s="4"/>
      <c r="AH106" s="4"/>
      <c r="AI106" s="4"/>
      <c r="AJ106" s="4"/>
      <c r="AK106" s="4"/>
      <c r="AL106" s="2" t="str">
        <f t="shared" si="54"/>
        <v/>
      </c>
      <c r="AM106" s="2" t="str">
        <f t="shared" si="55"/>
        <v/>
      </c>
      <c r="AN106" s="4">
        <f t="shared" si="56"/>
        <v>3</v>
      </c>
      <c r="AO106" s="1" t="str">
        <f t="shared" si="57"/>
        <v/>
      </c>
      <c r="AP106" s="4"/>
      <c r="AQ106" s="4"/>
      <c r="AR106" s="4"/>
      <c r="AS106" s="4"/>
      <c r="AT106" s="4"/>
      <c r="AU106" s="4"/>
      <c r="AV106" s="4"/>
      <c r="AW106" s="2" t="str">
        <f t="shared" si="58"/>
        <v/>
      </c>
      <c r="AX106" s="23" t="str">
        <f t="shared" si="59"/>
        <v/>
      </c>
      <c r="AY106" s="4">
        <f t="shared" si="60"/>
        <v>3</v>
      </c>
      <c r="AZ106" s="1" t="str">
        <f t="shared" si="61"/>
        <v/>
      </c>
      <c r="BA106" s="4"/>
      <c r="BB106" s="4"/>
      <c r="BC106" s="4"/>
      <c r="BD106" s="4"/>
      <c r="BE106" s="4"/>
      <c r="BF106" s="4"/>
      <c r="BG106" s="4"/>
      <c r="BH106" s="2" t="str">
        <f t="shared" si="62"/>
        <v/>
      </c>
      <c r="BI106" s="2" t="str">
        <f t="shared" si="63"/>
        <v/>
      </c>
      <c r="BJ106" s="4">
        <f t="shared" si="64"/>
        <v>3</v>
      </c>
      <c r="BK106" s="1" t="str">
        <f t="shared" si="65"/>
        <v/>
      </c>
      <c r="BL106" s="23"/>
      <c r="BM106" s="23"/>
      <c r="BN106" s="23"/>
      <c r="BO106" s="4"/>
      <c r="BP106" s="24"/>
      <c r="BQ106" s="23"/>
      <c r="BR106" s="4"/>
      <c r="BS106" s="24"/>
      <c r="BT106" s="23"/>
      <c r="BU106" s="23"/>
      <c r="BV106" s="23"/>
      <c r="BW106" s="4"/>
      <c r="BX106" s="24"/>
      <c r="BY106" s="23"/>
      <c r="BZ106" s="4"/>
      <c r="CA106" s="2" t="str">
        <f t="shared" si="66"/>
        <v/>
      </c>
      <c r="CB106" s="2" t="str">
        <f t="shared" si="67"/>
        <v/>
      </c>
      <c r="CC106" s="4">
        <f t="shared" si="68"/>
        <v>3</v>
      </c>
      <c r="CD106" s="1" t="str">
        <f t="shared" si="69"/>
        <v/>
      </c>
      <c r="CE106" s="23"/>
      <c r="CF106" s="4"/>
      <c r="CG106" s="4"/>
      <c r="CH106" s="2" t="str">
        <f t="shared" si="70"/>
        <v/>
      </c>
      <c r="CI106" s="2" t="str">
        <f t="shared" si="71"/>
        <v/>
      </c>
    </row>
    <row r="107" spans="2:87" ht="21.75" customHeight="1">
      <c r="B107" s="38">
        <v>4</v>
      </c>
      <c r="C107" s="41"/>
      <c r="D107" s="45"/>
      <c r="E107" s="45"/>
      <c r="F107" s="45"/>
      <c r="G107" s="45"/>
      <c r="H107" s="45"/>
      <c r="I107" s="45"/>
      <c r="J107" s="45"/>
      <c r="K107" s="53"/>
      <c r="L107" s="53"/>
      <c r="M107" s="53"/>
      <c r="N107" s="45"/>
      <c r="O107" s="45"/>
      <c r="P107" s="30" t="s">
        <v>42</v>
      </c>
      <c r="Q107" s="32" t="str">
        <f>IF(ISBLANK(C104),"",COUNTIF(O104:O143,5))</f>
        <v/>
      </c>
      <c r="R107" s="4">
        <f t="shared" si="48"/>
        <v>4</v>
      </c>
      <c r="S107" s="1" t="str">
        <f t="shared" si="49"/>
        <v/>
      </c>
      <c r="T107" s="4"/>
      <c r="U107" s="4"/>
      <c r="V107" s="4"/>
      <c r="W107" s="4"/>
      <c r="X107" s="4"/>
      <c r="Y107" s="4"/>
      <c r="Z107" s="4"/>
      <c r="AA107" s="2" t="str">
        <f t="shared" si="50"/>
        <v/>
      </c>
      <c r="AB107" s="2" t="str">
        <f t="shared" si="51"/>
        <v/>
      </c>
      <c r="AC107" s="4">
        <f t="shared" si="52"/>
        <v>4</v>
      </c>
      <c r="AD107" s="1" t="str">
        <f t="shared" si="53"/>
        <v/>
      </c>
      <c r="AE107" s="4"/>
      <c r="AF107" s="4"/>
      <c r="AG107" s="4"/>
      <c r="AH107" s="4"/>
      <c r="AI107" s="4"/>
      <c r="AJ107" s="4"/>
      <c r="AK107" s="4"/>
      <c r="AL107" s="2" t="str">
        <f t="shared" si="54"/>
        <v/>
      </c>
      <c r="AM107" s="2" t="str">
        <f t="shared" si="55"/>
        <v/>
      </c>
      <c r="AN107" s="4">
        <f t="shared" si="56"/>
        <v>4</v>
      </c>
      <c r="AO107" s="1" t="str">
        <f t="shared" si="57"/>
        <v/>
      </c>
      <c r="AP107" s="4"/>
      <c r="AQ107" s="4"/>
      <c r="AR107" s="4"/>
      <c r="AS107" s="4"/>
      <c r="AT107" s="4"/>
      <c r="AU107" s="4"/>
      <c r="AV107" s="4"/>
      <c r="AW107" s="2" t="str">
        <f t="shared" si="58"/>
        <v/>
      </c>
      <c r="AX107" s="23" t="str">
        <f t="shared" si="59"/>
        <v/>
      </c>
      <c r="AY107" s="4">
        <f t="shared" si="60"/>
        <v>4</v>
      </c>
      <c r="AZ107" s="1" t="str">
        <f t="shared" si="61"/>
        <v/>
      </c>
      <c r="BA107" s="4"/>
      <c r="BB107" s="4"/>
      <c r="BC107" s="4"/>
      <c r="BD107" s="4"/>
      <c r="BE107" s="4"/>
      <c r="BF107" s="4"/>
      <c r="BG107" s="4"/>
      <c r="BH107" s="2" t="str">
        <f t="shared" si="62"/>
        <v/>
      </c>
      <c r="BI107" s="2" t="str">
        <f t="shared" si="63"/>
        <v/>
      </c>
      <c r="BJ107" s="4">
        <f t="shared" si="64"/>
        <v>4</v>
      </c>
      <c r="BK107" s="1" t="str">
        <f t="shared" si="65"/>
        <v/>
      </c>
      <c r="BL107" s="23"/>
      <c r="BM107" s="23"/>
      <c r="BN107" s="23"/>
      <c r="BO107" s="4"/>
      <c r="BP107" s="24"/>
      <c r="BQ107" s="23"/>
      <c r="BR107" s="4"/>
      <c r="BS107" s="24"/>
      <c r="BT107" s="23"/>
      <c r="BU107" s="23"/>
      <c r="BV107" s="23"/>
      <c r="BW107" s="4"/>
      <c r="BX107" s="24"/>
      <c r="BY107" s="23"/>
      <c r="BZ107" s="4"/>
      <c r="CA107" s="2" t="str">
        <f t="shared" si="66"/>
        <v/>
      </c>
      <c r="CB107" s="2" t="str">
        <f t="shared" si="67"/>
        <v/>
      </c>
      <c r="CC107" s="4">
        <f t="shared" si="68"/>
        <v>4</v>
      </c>
      <c r="CD107" s="1" t="str">
        <f t="shared" si="69"/>
        <v/>
      </c>
      <c r="CE107" s="23"/>
      <c r="CF107" s="4"/>
      <c r="CG107" s="4"/>
      <c r="CH107" s="2" t="str">
        <f t="shared" si="70"/>
        <v/>
      </c>
      <c r="CI107" s="2" t="str">
        <f t="shared" si="71"/>
        <v/>
      </c>
    </row>
    <row r="108" spans="2:87" ht="21.75" customHeight="1">
      <c r="B108" s="38">
        <v>5</v>
      </c>
      <c r="C108" s="41"/>
      <c r="D108" s="45"/>
      <c r="E108" s="45"/>
      <c r="F108" s="45"/>
      <c r="G108" s="45"/>
      <c r="H108" s="45"/>
      <c r="I108" s="45"/>
      <c r="J108" s="45"/>
      <c r="K108" s="53"/>
      <c r="L108" s="53"/>
      <c r="M108" s="53"/>
      <c r="N108" s="45"/>
      <c r="O108" s="45"/>
      <c r="P108" s="30" t="s">
        <v>43</v>
      </c>
      <c r="Q108" s="32" t="str">
        <f>IF(ISBLANK(C104),"",COUNTIF(O104:O143,4))</f>
        <v/>
      </c>
      <c r="R108" s="4">
        <f t="shared" si="48"/>
        <v>5</v>
      </c>
      <c r="S108" s="1" t="str">
        <f t="shared" si="49"/>
        <v/>
      </c>
      <c r="T108" s="4"/>
      <c r="U108" s="4"/>
      <c r="V108" s="4"/>
      <c r="W108" s="4"/>
      <c r="X108" s="4"/>
      <c r="Y108" s="4"/>
      <c r="Z108" s="4"/>
      <c r="AA108" s="2" t="str">
        <f t="shared" si="50"/>
        <v/>
      </c>
      <c r="AB108" s="2" t="str">
        <f t="shared" si="51"/>
        <v/>
      </c>
      <c r="AC108" s="4">
        <f t="shared" si="52"/>
        <v>5</v>
      </c>
      <c r="AD108" s="1" t="str">
        <f t="shared" si="53"/>
        <v/>
      </c>
      <c r="AE108" s="4"/>
      <c r="AF108" s="4"/>
      <c r="AG108" s="4"/>
      <c r="AH108" s="4"/>
      <c r="AI108" s="4"/>
      <c r="AJ108" s="4"/>
      <c r="AK108" s="4"/>
      <c r="AL108" s="2" t="str">
        <f t="shared" si="54"/>
        <v/>
      </c>
      <c r="AM108" s="2" t="str">
        <f t="shared" si="55"/>
        <v/>
      </c>
      <c r="AN108" s="4">
        <f t="shared" si="56"/>
        <v>5</v>
      </c>
      <c r="AO108" s="1" t="str">
        <f t="shared" si="57"/>
        <v/>
      </c>
      <c r="AP108" s="4"/>
      <c r="AQ108" s="4"/>
      <c r="AR108" s="4"/>
      <c r="AS108" s="4"/>
      <c r="AT108" s="4"/>
      <c r="AU108" s="4"/>
      <c r="AV108" s="4"/>
      <c r="AW108" s="2" t="str">
        <f t="shared" si="58"/>
        <v/>
      </c>
      <c r="AX108" s="23" t="str">
        <f t="shared" si="59"/>
        <v/>
      </c>
      <c r="AY108" s="4">
        <f t="shared" si="60"/>
        <v>5</v>
      </c>
      <c r="AZ108" s="1" t="str">
        <f t="shared" si="61"/>
        <v/>
      </c>
      <c r="BA108" s="4"/>
      <c r="BB108" s="4"/>
      <c r="BC108" s="4"/>
      <c r="BD108" s="4"/>
      <c r="BE108" s="4"/>
      <c r="BF108" s="4"/>
      <c r="BG108" s="4"/>
      <c r="BH108" s="2" t="str">
        <f t="shared" si="62"/>
        <v/>
      </c>
      <c r="BI108" s="2" t="str">
        <f t="shared" si="63"/>
        <v/>
      </c>
      <c r="BJ108" s="4">
        <f t="shared" si="64"/>
        <v>5</v>
      </c>
      <c r="BK108" s="1" t="str">
        <f t="shared" si="65"/>
        <v/>
      </c>
      <c r="BL108" s="23"/>
      <c r="BM108" s="23"/>
      <c r="BN108" s="23"/>
      <c r="BO108" s="4"/>
      <c r="BP108" s="24"/>
      <c r="BQ108" s="23"/>
      <c r="BR108" s="4"/>
      <c r="BS108" s="24"/>
      <c r="BT108" s="23"/>
      <c r="BU108" s="23"/>
      <c r="BV108" s="23"/>
      <c r="BW108" s="4"/>
      <c r="BX108" s="24"/>
      <c r="BY108" s="23"/>
      <c r="BZ108" s="4"/>
      <c r="CA108" s="2" t="str">
        <f t="shared" si="66"/>
        <v/>
      </c>
      <c r="CB108" s="2" t="str">
        <f t="shared" si="67"/>
        <v/>
      </c>
      <c r="CC108" s="4">
        <f t="shared" si="68"/>
        <v>5</v>
      </c>
      <c r="CD108" s="1" t="str">
        <f t="shared" si="69"/>
        <v/>
      </c>
      <c r="CE108" s="23"/>
      <c r="CF108" s="4"/>
      <c r="CG108" s="4"/>
      <c r="CH108" s="2" t="str">
        <f t="shared" si="70"/>
        <v/>
      </c>
      <c r="CI108" s="2" t="str">
        <f t="shared" si="71"/>
        <v/>
      </c>
    </row>
    <row r="109" spans="2:87" ht="21.75" customHeight="1">
      <c r="B109" s="38">
        <v>6</v>
      </c>
      <c r="C109" s="41"/>
      <c r="D109" s="45"/>
      <c r="E109" s="45"/>
      <c r="F109" s="45"/>
      <c r="G109" s="45"/>
      <c r="H109" s="45"/>
      <c r="I109" s="45"/>
      <c r="J109" s="45"/>
      <c r="K109" s="53"/>
      <c r="L109" s="53"/>
      <c r="M109" s="53"/>
      <c r="N109" s="45"/>
      <c r="O109" s="45"/>
      <c r="P109" s="30" t="s">
        <v>44</v>
      </c>
      <c r="Q109" s="32" t="str">
        <f>IF(ISBLANK(C104),"",COUNTIF(O104:O143,3))</f>
        <v/>
      </c>
      <c r="R109" s="4">
        <f t="shared" si="48"/>
        <v>6</v>
      </c>
      <c r="S109" s="1" t="str">
        <f t="shared" si="49"/>
        <v/>
      </c>
      <c r="T109" s="4"/>
      <c r="U109" s="4"/>
      <c r="V109" s="4"/>
      <c r="W109" s="4"/>
      <c r="X109" s="4"/>
      <c r="Y109" s="4"/>
      <c r="Z109" s="4"/>
      <c r="AA109" s="2" t="str">
        <f t="shared" si="50"/>
        <v/>
      </c>
      <c r="AB109" s="2" t="str">
        <f t="shared" si="51"/>
        <v/>
      </c>
      <c r="AC109" s="4">
        <f t="shared" si="52"/>
        <v>6</v>
      </c>
      <c r="AD109" s="1" t="str">
        <f t="shared" si="53"/>
        <v/>
      </c>
      <c r="AE109" s="4"/>
      <c r="AF109" s="4"/>
      <c r="AG109" s="4"/>
      <c r="AH109" s="4"/>
      <c r="AI109" s="4"/>
      <c r="AJ109" s="4"/>
      <c r="AK109" s="4"/>
      <c r="AL109" s="2" t="str">
        <f t="shared" si="54"/>
        <v/>
      </c>
      <c r="AM109" s="2" t="str">
        <f t="shared" si="55"/>
        <v/>
      </c>
      <c r="AN109" s="4">
        <f t="shared" si="56"/>
        <v>6</v>
      </c>
      <c r="AO109" s="1" t="str">
        <f t="shared" si="57"/>
        <v/>
      </c>
      <c r="AP109" s="4"/>
      <c r="AQ109" s="4"/>
      <c r="AR109" s="4"/>
      <c r="AS109" s="4"/>
      <c r="AT109" s="4"/>
      <c r="AU109" s="4"/>
      <c r="AV109" s="4"/>
      <c r="AW109" s="2" t="str">
        <f t="shared" si="58"/>
        <v/>
      </c>
      <c r="AX109" s="23" t="str">
        <f t="shared" si="59"/>
        <v/>
      </c>
      <c r="AY109" s="4">
        <f t="shared" si="60"/>
        <v>6</v>
      </c>
      <c r="AZ109" s="1" t="str">
        <f t="shared" si="61"/>
        <v/>
      </c>
      <c r="BA109" s="4"/>
      <c r="BB109" s="4"/>
      <c r="BC109" s="4"/>
      <c r="BD109" s="4"/>
      <c r="BE109" s="4"/>
      <c r="BF109" s="4"/>
      <c r="BG109" s="4"/>
      <c r="BH109" s="2" t="str">
        <f t="shared" si="62"/>
        <v/>
      </c>
      <c r="BI109" s="2" t="str">
        <f t="shared" si="63"/>
        <v/>
      </c>
      <c r="BJ109" s="4">
        <f t="shared" si="64"/>
        <v>6</v>
      </c>
      <c r="BK109" s="1" t="str">
        <f t="shared" si="65"/>
        <v/>
      </c>
      <c r="BL109" s="23"/>
      <c r="BM109" s="23"/>
      <c r="BN109" s="23"/>
      <c r="BO109" s="4"/>
      <c r="BP109" s="24"/>
      <c r="BQ109" s="23"/>
      <c r="BR109" s="4"/>
      <c r="BS109" s="24"/>
      <c r="BT109" s="23"/>
      <c r="BU109" s="23"/>
      <c r="BV109" s="23"/>
      <c r="BW109" s="4"/>
      <c r="BX109" s="24"/>
      <c r="BY109" s="23"/>
      <c r="BZ109" s="4"/>
      <c r="CA109" s="2" t="str">
        <f t="shared" si="66"/>
        <v/>
      </c>
      <c r="CB109" s="2" t="str">
        <f t="shared" si="67"/>
        <v/>
      </c>
      <c r="CC109" s="4">
        <f t="shared" si="68"/>
        <v>6</v>
      </c>
      <c r="CD109" s="1" t="str">
        <f t="shared" si="69"/>
        <v/>
      </c>
      <c r="CE109" s="23"/>
      <c r="CF109" s="4"/>
      <c r="CG109" s="4"/>
      <c r="CH109" s="2" t="str">
        <f t="shared" si="70"/>
        <v/>
      </c>
      <c r="CI109" s="2" t="str">
        <f t="shared" si="71"/>
        <v/>
      </c>
    </row>
    <row r="110" spans="2:87" ht="21.75" customHeight="1">
      <c r="B110" s="38">
        <v>7</v>
      </c>
      <c r="C110" s="41"/>
      <c r="D110" s="45"/>
      <c r="E110" s="45"/>
      <c r="F110" s="45"/>
      <c r="G110" s="45"/>
      <c r="H110" s="45"/>
      <c r="I110" s="45"/>
      <c r="J110" s="45"/>
      <c r="K110" s="53"/>
      <c r="L110" s="53"/>
      <c r="M110" s="53"/>
      <c r="N110" s="45"/>
      <c r="O110" s="45"/>
      <c r="P110" s="30" t="s">
        <v>45</v>
      </c>
      <c r="Q110" s="32" t="str">
        <f>IF(ISBLANK(C104),"",MAX(J104:J143))</f>
        <v/>
      </c>
      <c r="R110" s="4">
        <f t="shared" si="48"/>
        <v>7</v>
      </c>
      <c r="S110" s="1" t="str">
        <f t="shared" si="49"/>
        <v/>
      </c>
      <c r="T110" s="4"/>
      <c r="U110" s="4"/>
      <c r="V110" s="4"/>
      <c r="W110" s="4"/>
      <c r="X110" s="4"/>
      <c r="Y110" s="4"/>
      <c r="Z110" s="4"/>
      <c r="AA110" s="2" t="str">
        <f t="shared" si="50"/>
        <v/>
      </c>
      <c r="AB110" s="2" t="str">
        <f t="shared" si="51"/>
        <v/>
      </c>
      <c r="AC110" s="4">
        <f t="shared" si="52"/>
        <v>7</v>
      </c>
      <c r="AD110" s="1" t="str">
        <f t="shared" si="53"/>
        <v/>
      </c>
      <c r="AE110" s="4"/>
      <c r="AF110" s="4"/>
      <c r="AG110" s="4"/>
      <c r="AH110" s="4"/>
      <c r="AI110" s="4"/>
      <c r="AJ110" s="4"/>
      <c r="AK110" s="4"/>
      <c r="AL110" s="2" t="str">
        <f t="shared" si="54"/>
        <v/>
      </c>
      <c r="AM110" s="2" t="str">
        <f t="shared" si="55"/>
        <v/>
      </c>
      <c r="AN110" s="4">
        <f t="shared" si="56"/>
        <v>7</v>
      </c>
      <c r="AO110" s="1" t="str">
        <f t="shared" si="57"/>
        <v/>
      </c>
      <c r="AP110" s="4"/>
      <c r="AQ110" s="4"/>
      <c r="AR110" s="4"/>
      <c r="AS110" s="4"/>
      <c r="AT110" s="4"/>
      <c r="AU110" s="4"/>
      <c r="AV110" s="4"/>
      <c r="AW110" s="2" t="str">
        <f t="shared" si="58"/>
        <v/>
      </c>
      <c r="AX110" s="23" t="str">
        <f t="shared" si="59"/>
        <v/>
      </c>
      <c r="AY110" s="4">
        <f t="shared" si="60"/>
        <v>7</v>
      </c>
      <c r="AZ110" s="1" t="str">
        <f t="shared" si="61"/>
        <v/>
      </c>
      <c r="BA110" s="4"/>
      <c r="BB110" s="4"/>
      <c r="BC110" s="4"/>
      <c r="BD110" s="4"/>
      <c r="BE110" s="4"/>
      <c r="BF110" s="4"/>
      <c r="BG110" s="4"/>
      <c r="BH110" s="2" t="str">
        <f t="shared" si="62"/>
        <v/>
      </c>
      <c r="BI110" s="2" t="str">
        <f t="shared" si="63"/>
        <v/>
      </c>
      <c r="BJ110" s="4">
        <f t="shared" si="64"/>
        <v>7</v>
      </c>
      <c r="BK110" s="1" t="str">
        <f t="shared" si="65"/>
        <v/>
      </c>
      <c r="BL110" s="23"/>
      <c r="BM110" s="23"/>
      <c r="BN110" s="23"/>
      <c r="BO110" s="4"/>
      <c r="BP110" s="24"/>
      <c r="BQ110" s="23"/>
      <c r="BR110" s="4"/>
      <c r="BS110" s="24"/>
      <c r="BT110" s="23"/>
      <c r="BU110" s="23"/>
      <c r="BV110" s="23"/>
      <c r="BW110" s="4"/>
      <c r="BX110" s="24"/>
      <c r="BY110" s="23"/>
      <c r="BZ110" s="4"/>
      <c r="CA110" s="2" t="str">
        <f t="shared" si="66"/>
        <v/>
      </c>
      <c r="CB110" s="2" t="str">
        <f t="shared" si="67"/>
        <v/>
      </c>
      <c r="CC110" s="4">
        <f t="shared" si="68"/>
        <v>7</v>
      </c>
      <c r="CD110" s="1" t="str">
        <f t="shared" si="69"/>
        <v/>
      </c>
      <c r="CE110" s="23"/>
      <c r="CF110" s="4"/>
      <c r="CG110" s="4"/>
      <c r="CH110" s="2" t="str">
        <f t="shared" si="70"/>
        <v/>
      </c>
      <c r="CI110" s="2" t="str">
        <f t="shared" si="71"/>
        <v/>
      </c>
    </row>
    <row r="111" spans="2:87" ht="21.75" customHeight="1" thickBot="1">
      <c r="B111" s="38">
        <v>8</v>
      </c>
      <c r="C111" s="41"/>
      <c r="D111" s="45"/>
      <c r="E111" s="45"/>
      <c r="F111" s="45"/>
      <c r="G111" s="45"/>
      <c r="H111" s="45"/>
      <c r="I111" s="45"/>
      <c r="J111" s="45"/>
      <c r="K111" s="53"/>
      <c r="L111" s="53"/>
      <c r="M111" s="53"/>
      <c r="N111" s="45"/>
      <c r="O111" s="45"/>
      <c r="P111" s="31" t="s">
        <v>46</v>
      </c>
      <c r="Q111" s="34" t="str">
        <f>IF(ISBLANK(C104),"",MIN(J104:J143))</f>
        <v/>
      </c>
      <c r="R111" s="4">
        <f t="shared" si="48"/>
        <v>8</v>
      </c>
      <c r="S111" s="1" t="str">
        <f t="shared" si="49"/>
        <v/>
      </c>
      <c r="T111" s="4"/>
      <c r="U111" s="4"/>
      <c r="V111" s="4"/>
      <c r="W111" s="4"/>
      <c r="X111" s="4"/>
      <c r="Y111" s="4"/>
      <c r="Z111" s="4"/>
      <c r="AA111" s="2" t="str">
        <f t="shared" si="50"/>
        <v/>
      </c>
      <c r="AB111" s="2" t="str">
        <f t="shared" si="51"/>
        <v/>
      </c>
      <c r="AC111" s="4">
        <f t="shared" si="52"/>
        <v>8</v>
      </c>
      <c r="AD111" s="1" t="str">
        <f t="shared" si="53"/>
        <v/>
      </c>
      <c r="AE111" s="4"/>
      <c r="AF111" s="4"/>
      <c r="AG111" s="4"/>
      <c r="AH111" s="4"/>
      <c r="AI111" s="4"/>
      <c r="AJ111" s="4"/>
      <c r="AK111" s="4"/>
      <c r="AL111" s="2" t="str">
        <f t="shared" si="54"/>
        <v/>
      </c>
      <c r="AM111" s="2" t="str">
        <f t="shared" si="55"/>
        <v/>
      </c>
      <c r="AN111" s="4">
        <f t="shared" si="56"/>
        <v>8</v>
      </c>
      <c r="AO111" s="1" t="str">
        <f t="shared" si="57"/>
        <v/>
      </c>
      <c r="AP111" s="4"/>
      <c r="AQ111" s="4"/>
      <c r="AR111" s="4"/>
      <c r="AS111" s="4"/>
      <c r="AT111" s="4"/>
      <c r="AU111" s="4"/>
      <c r="AV111" s="4"/>
      <c r="AW111" s="2" t="str">
        <f t="shared" si="58"/>
        <v/>
      </c>
      <c r="AX111" s="23" t="str">
        <f t="shared" si="59"/>
        <v/>
      </c>
      <c r="AY111" s="4">
        <f t="shared" si="60"/>
        <v>8</v>
      </c>
      <c r="AZ111" s="1" t="str">
        <f t="shared" si="61"/>
        <v/>
      </c>
      <c r="BA111" s="4"/>
      <c r="BB111" s="4"/>
      <c r="BC111" s="4"/>
      <c r="BD111" s="4"/>
      <c r="BE111" s="4"/>
      <c r="BF111" s="4"/>
      <c r="BG111" s="4"/>
      <c r="BH111" s="2" t="str">
        <f t="shared" si="62"/>
        <v/>
      </c>
      <c r="BI111" s="2" t="str">
        <f t="shared" si="63"/>
        <v/>
      </c>
      <c r="BJ111" s="4">
        <f t="shared" si="64"/>
        <v>8</v>
      </c>
      <c r="BK111" s="1" t="str">
        <f t="shared" si="65"/>
        <v/>
      </c>
      <c r="BL111" s="23"/>
      <c r="BM111" s="23"/>
      <c r="BN111" s="23"/>
      <c r="BO111" s="4"/>
      <c r="BP111" s="24"/>
      <c r="BQ111" s="23"/>
      <c r="BR111" s="4"/>
      <c r="BS111" s="24"/>
      <c r="BT111" s="23"/>
      <c r="BU111" s="23"/>
      <c r="BV111" s="23"/>
      <c r="BW111" s="4"/>
      <c r="BX111" s="24"/>
      <c r="BY111" s="23"/>
      <c r="BZ111" s="4"/>
      <c r="CA111" s="2" t="str">
        <f t="shared" si="66"/>
        <v/>
      </c>
      <c r="CB111" s="2" t="str">
        <f t="shared" si="67"/>
        <v/>
      </c>
      <c r="CC111" s="4">
        <f t="shared" si="68"/>
        <v>8</v>
      </c>
      <c r="CD111" s="1" t="str">
        <f t="shared" si="69"/>
        <v/>
      </c>
      <c r="CE111" s="23"/>
      <c r="CF111" s="4"/>
      <c r="CG111" s="4"/>
      <c r="CH111" s="2" t="str">
        <f t="shared" si="70"/>
        <v/>
      </c>
      <c r="CI111" s="2" t="str">
        <f t="shared" si="71"/>
        <v/>
      </c>
    </row>
    <row r="112" spans="2:87" ht="21.75" customHeight="1">
      <c r="B112" s="38">
        <v>9</v>
      </c>
      <c r="C112" s="41"/>
      <c r="D112" s="45"/>
      <c r="E112" s="45"/>
      <c r="F112" s="45"/>
      <c r="G112" s="45"/>
      <c r="H112" s="45"/>
      <c r="I112" s="45"/>
      <c r="J112" s="45"/>
      <c r="K112" s="53"/>
      <c r="L112" s="53"/>
      <c r="M112" s="53"/>
      <c r="N112" s="45"/>
      <c r="O112" s="45"/>
      <c r="R112" s="4">
        <f t="shared" si="48"/>
        <v>9</v>
      </c>
      <c r="S112" s="1" t="str">
        <f t="shared" si="49"/>
        <v/>
      </c>
      <c r="T112" s="4"/>
      <c r="U112" s="4"/>
      <c r="V112" s="4"/>
      <c r="W112" s="4"/>
      <c r="X112" s="4"/>
      <c r="Y112" s="4"/>
      <c r="Z112" s="4"/>
      <c r="AA112" s="2" t="str">
        <f t="shared" si="50"/>
        <v/>
      </c>
      <c r="AB112" s="2" t="str">
        <f t="shared" si="51"/>
        <v/>
      </c>
      <c r="AC112" s="4">
        <f t="shared" si="52"/>
        <v>9</v>
      </c>
      <c r="AD112" s="1" t="str">
        <f t="shared" si="53"/>
        <v/>
      </c>
      <c r="AE112" s="4"/>
      <c r="AF112" s="4"/>
      <c r="AG112" s="4"/>
      <c r="AH112" s="4"/>
      <c r="AI112" s="4"/>
      <c r="AJ112" s="4"/>
      <c r="AK112" s="4"/>
      <c r="AL112" s="2" t="str">
        <f t="shared" si="54"/>
        <v/>
      </c>
      <c r="AM112" s="2" t="str">
        <f t="shared" si="55"/>
        <v/>
      </c>
      <c r="AN112" s="4">
        <f t="shared" si="56"/>
        <v>9</v>
      </c>
      <c r="AO112" s="1" t="str">
        <f t="shared" si="57"/>
        <v/>
      </c>
      <c r="AP112" s="4"/>
      <c r="AQ112" s="4"/>
      <c r="AR112" s="4"/>
      <c r="AS112" s="4"/>
      <c r="AT112" s="4"/>
      <c r="AU112" s="4"/>
      <c r="AV112" s="4"/>
      <c r="AW112" s="2" t="str">
        <f t="shared" si="58"/>
        <v/>
      </c>
      <c r="AX112" s="23" t="str">
        <f t="shared" si="59"/>
        <v/>
      </c>
      <c r="AY112" s="4">
        <f t="shared" si="60"/>
        <v>9</v>
      </c>
      <c r="AZ112" s="1" t="str">
        <f t="shared" si="61"/>
        <v/>
      </c>
      <c r="BA112" s="4"/>
      <c r="BB112" s="4"/>
      <c r="BC112" s="4"/>
      <c r="BD112" s="4"/>
      <c r="BE112" s="4"/>
      <c r="BF112" s="4"/>
      <c r="BG112" s="4"/>
      <c r="BH112" s="2" t="str">
        <f t="shared" si="62"/>
        <v/>
      </c>
      <c r="BI112" s="2" t="str">
        <f t="shared" si="63"/>
        <v/>
      </c>
      <c r="BJ112" s="4">
        <f t="shared" si="64"/>
        <v>9</v>
      </c>
      <c r="BK112" s="1" t="str">
        <f t="shared" si="65"/>
        <v/>
      </c>
      <c r="BL112" s="23"/>
      <c r="BM112" s="23"/>
      <c r="BN112" s="23"/>
      <c r="BO112" s="4"/>
      <c r="BP112" s="4"/>
      <c r="BQ112" s="23"/>
      <c r="BR112" s="4"/>
      <c r="BS112" s="4"/>
      <c r="BT112" s="23"/>
      <c r="BU112" s="23"/>
      <c r="BV112" s="23"/>
      <c r="BW112" s="4"/>
      <c r="BX112" s="4"/>
      <c r="BY112" s="23"/>
      <c r="BZ112" s="4"/>
      <c r="CA112" s="2" t="str">
        <f t="shared" si="66"/>
        <v/>
      </c>
      <c r="CB112" s="2" t="str">
        <f t="shared" si="67"/>
        <v/>
      </c>
      <c r="CC112" s="4">
        <f t="shared" si="68"/>
        <v>9</v>
      </c>
      <c r="CD112" s="1" t="str">
        <f t="shared" si="69"/>
        <v/>
      </c>
      <c r="CE112" s="23"/>
      <c r="CF112" s="4"/>
      <c r="CG112" s="4"/>
      <c r="CH112" s="2" t="str">
        <f t="shared" si="70"/>
        <v/>
      </c>
      <c r="CI112" s="2" t="str">
        <f t="shared" si="71"/>
        <v/>
      </c>
    </row>
    <row r="113" spans="2:87" ht="21.75" customHeight="1">
      <c r="B113" s="38">
        <v>10</v>
      </c>
      <c r="C113" s="41"/>
      <c r="D113" s="45"/>
      <c r="E113" s="45"/>
      <c r="F113" s="45"/>
      <c r="G113" s="45"/>
      <c r="H113" s="45"/>
      <c r="I113" s="45"/>
      <c r="J113" s="45"/>
      <c r="K113" s="53"/>
      <c r="L113" s="53"/>
      <c r="M113" s="53"/>
      <c r="N113" s="45"/>
      <c r="O113" s="45"/>
      <c r="R113" s="4">
        <f t="shared" si="48"/>
        <v>10</v>
      </c>
      <c r="S113" s="1" t="str">
        <f t="shared" si="49"/>
        <v/>
      </c>
      <c r="T113" s="4"/>
      <c r="U113" s="4"/>
      <c r="V113" s="4"/>
      <c r="W113" s="4"/>
      <c r="X113" s="4"/>
      <c r="Y113" s="4"/>
      <c r="Z113" s="4"/>
      <c r="AA113" s="2" t="str">
        <f t="shared" si="50"/>
        <v/>
      </c>
      <c r="AB113" s="2" t="str">
        <f t="shared" si="51"/>
        <v/>
      </c>
      <c r="AC113" s="4">
        <f t="shared" si="52"/>
        <v>10</v>
      </c>
      <c r="AD113" s="1" t="str">
        <f t="shared" si="53"/>
        <v/>
      </c>
      <c r="AE113" s="4"/>
      <c r="AF113" s="4"/>
      <c r="AG113" s="4"/>
      <c r="AH113" s="4"/>
      <c r="AI113" s="4"/>
      <c r="AJ113" s="4"/>
      <c r="AK113" s="4"/>
      <c r="AL113" s="2" t="str">
        <f t="shared" si="54"/>
        <v/>
      </c>
      <c r="AM113" s="2" t="str">
        <f t="shared" si="55"/>
        <v/>
      </c>
      <c r="AN113" s="4">
        <f t="shared" si="56"/>
        <v>10</v>
      </c>
      <c r="AO113" s="1" t="str">
        <f t="shared" si="57"/>
        <v/>
      </c>
      <c r="AP113" s="4"/>
      <c r="AQ113" s="4"/>
      <c r="AR113" s="4"/>
      <c r="AS113" s="4"/>
      <c r="AT113" s="4"/>
      <c r="AU113" s="4"/>
      <c r="AV113" s="4"/>
      <c r="AW113" s="2" t="str">
        <f t="shared" si="58"/>
        <v/>
      </c>
      <c r="AX113" s="23" t="str">
        <f t="shared" si="59"/>
        <v/>
      </c>
      <c r="AY113" s="4">
        <f t="shared" si="60"/>
        <v>10</v>
      </c>
      <c r="AZ113" s="1" t="str">
        <f t="shared" si="61"/>
        <v/>
      </c>
      <c r="BA113" s="4"/>
      <c r="BB113" s="4"/>
      <c r="BC113" s="4"/>
      <c r="BD113" s="4"/>
      <c r="BE113" s="4"/>
      <c r="BF113" s="4"/>
      <c r="BG113" s="4"/>
      <c r="BH113" s="2" t="str">
        <f t="shared" si="62"/>
        <v/>
      </c>
      <c r="BI113" s="2" t="str">
        <f t="shared" si="63"/>
        <v/>
      </c>
      <c r="BJ113" s="4">
        <f t="shared" si="64"/>
        <v>10</v>
      </c>
      <c r="BK113" s="1" t="str">
        <f t="shared" si="65"/>
        <v/>
      </c>
      <c r="BL113" s="23"/>
      <c r="BM113" s="23"/>
      <c r="BN113" s="23"/>
      <c r="BO113" s="4"/>
      <c r="BP113" s="4"/>
      <c r="BQ113" s="23"/>
      <c r="BR113" s="4"/>
      <c r="BS113" s="4"/>
      <c r="BT113" s="23"/>
      <c r="BU113" s="23"/>
      <c r="BV113" s="23"/>
      <c r="BW113" s="4"/>
      <c r="BX113" s="4"/>
      <c r="BY113" s="23"/>
      <c r="BZ113" s="4"/>
      <c r="CA113" s="2" t="str">
        <f t="shared" si="66"/>
        <v/>
      </c>
      <c r="CB113" s="2" t="str">
        <f t="shared" si="67"/>
        <v/>
      </c>
      <c r="CC113" s="4">
        <f t="shared" si="68"/>
        <v>10</v>
      </c>
      <c r="CD113" s="1" t="str">
        <f t="shared" si="69"/>
        <v/>
      </c>
      <c r="CE113" s="23"/>
      <c r="CF113" s="4"/>
      <c r="CG113" s="4"/>
      <c r="CH113" s="2" t="str">
        <f t="shared" si="70"/>
        <v/>
      </c>
      <c r="CI113" s="2" t="str">
        <f t="shared" si="71"/>
        <v/>
      </c>
    </row>
    <row r="114" spans="2:87" ht="21.75" customHeight="1">
      <c r="B114" s="38">
        <v>11</v>
      </c>
      <c r="C114" s="41"/>
      <c r="D114" s="45"/>
      <c r="E114" s="45"/>
      <c r="F114" s="45"/>
      <c r="G114" s="45"/>
      <c r="H114" s="45"/>
      <c r="I114" s="45"/>
      <c r="J114" s="45"/>
      <c r="K114" s="53"/>
      <c r="L114" s="53"/>
      <c r="M114" s="53"/>
      <c r="N114" s="45"/>
      <c r="O114" s="45"/>
      <c r="R114" s="4">
        <f t="shared" si="48"/>
        <v>11</v>
      </c>
      <c r="S114" s="1" t="str">
        <f t="shared" si="49"/>
        <v/>
      </c>
      <c r="T114" s="4"/>
      <c r="U114" s="4"/>
      <c r="V114" s="4"/>
      <c r="W114" s="4"/>
      <c r="X114" s="4"/>
      <c r="Y114" s="4"/>
      <c r="Z114" s="4"/>
      <c r="AA114" s="2" t="str">
        <f t="shared" si="50"/>
        <v/>
      </c>
      <c r="AB114" s="2" t="str">
        <f t="shared" si="51"/>
        <v/>
      </c>
      <c r="AC114" s="4">
        <f t="shared" si="52"/>
        <v>11</v>
      </c>
      <c r="AD114" s="1" t="str">
        <f t="shared" si="53"/>
        <v/>
      </c>
      <c r="AE114" s="4"/>
      <c r="AF114" s="4"/>
      <c r="AG114" s="4"/>
      <c r="AH114" s="4"/>
      <c r="AI114" s="4"/>
      <c r="AJ114" s="4"/>
      <c r="AK114" s="4"/>
      <c r="AL114" s="2" t="str">
        <f t="shared" si="54"/>
        <v/>
      </c>
      <c r="AM114" s="2" t="str">
        <f t="shared" si="55"/>
        <v/>
      </c>
      <c r="AN114" s="4">
        <f t="shared" si="56"/>
        <v>11</v>
      </c>
      <c r="AO114" s="1" t="str">
        <f t="shared" si="57"/>
        <v/>
      </c>
      <c r="AP114" s="4"/>
      <c r="AQ114" s="4"/>
      <c r="AR114" s="4"/>
      <c r="AS114" s="4"/>
      <c r="AT114" s="4"/>
      <c r="AU114" s="4"/>
      <c r="AV114" s="4"/>
      <c r="AW114" s="2" t="str">
        <f t="shared" si="58"/>
        <v/>
      </c>
      <c r="AX114" s="23" t="str">
        <f t="shared" si="59"/>
        <v/>
      </c>
      <c r="AY114" s="4">
        <f t="shared" si="60"/>
        <v>11</v>
      </c>
      <c r="AZ114" s="1" t="str">
        <f t="shared" si="61"/>
        <v/>
      </c>
      <c r="BA114" s="4"/>
      <c r="BB114" s="4"/>
      <c r="BC114" s="4"/>
      <c r="BD114" s="4"/>
      <c r="BE114" s="4"/>
      <c r="BF114" s="4"/>
      <c r="BG114" s="4"/>
      <c r="BH114" s="2" t="str">
        <f t="shared" si="62"/>
        <v/>
      </c>
      <c r="BI114" s="2" t="str">
        <f t="shared" si="63"/>
        <v/>
      </c>
      <c r="BJ114" s="4">
        <f t="shared" si="64"/>
        <v>11</v>
      </c>
      <c r="BK114" s="1" t="str">
        <f t="shared" si="65"/>
        <v/>
      </c>
      <c r="BL114" s="23"/>
      <c r="BM114" s="23"/>
      <c r="BN114" s="23"/>
      <c r="BO114" s="4"/>
      <c r="BP114" s="4"/>
      <c r="BQ114" s="23"/>
      <c r="BR114" s="4"/>
      <c r="BS114" s="4"/>
      <c r="BT114" s="23"/>
      <c r="BU114" s="23"/>
      <c r="BV114" s="23"/>
      <c r="BW114" s="4"/>
      <c r="BX114" s="4"/>
      <c r="BY114" s="23"/>
      <c r="BZ114" s="4"/>
      <c r="CA114" s="2" t="str">
        <f t="shared" si="66"/>
        <v/>
      </c>
      <c r="CB114" s="2" t="str">
        <f t="shared" si="67"/>
        <v/>
      </c>
      <c r="CC114" s="4">
        <f t="shared" si="68"/>
        <v>11</v>
      </c>
      <c r="CD114" s="1" t="str">
        <f t="shared" si="69"/>
        <v/>
      </c>
      <c r="CE114" s="23"/>
      <c r="CF114" s="4"/>
      <c r="CG114" s="4"/>
      <c r="CH114" s="2" t="str">
        <f t="shared" si="70"/>
        <v/>
      </c>
      <c r="CI114" s="2" t="str">
        <f t="shared" si="71"/>
        <v/>
      </c>
    </row>
    <row r="115" spans="2:87" ht="21.75" customHeight="1">
      <c r="B115" s="38">
        <v>12</v>
      </c>
      <c r="C115" s="41"/>
      <c r="D115" s="45"/>
      <c r="E115" s="45"/>
      <c r="F115" s="45"/>
      <c r="G115" s="45"/>
      <c r="H115" s="45"/>
      <c r="I115" s="45"/>
      <c r="J115" s="45"/>
      <c r="K115" s="53"/>
      <c r="L115" s="53"/>
      <c r="M115" s="53"/>
      <c r="N115" s="45"/>
      <c r="O115" s="45"/>
      <c r="R115" s="4">
        <f t="shared" si="48"/>
        <v>12</v>
      </c>
      <c r="S115" s="1" t="str">
        <f t="shared" si="49"/>
        <v/>
      </c>
      <c r="T115" s="4"/>
      <c r="U115" s="4"/>
      <c r="V115" s="4"/>
      <c r="W115" s="4"/>
      <c r="X115" s="4"/>
      <c r="Y115" s="4"/>
      <c r="Z115" s="4"/>
      <c r="AA115" s="2" t="str">
        <f t="shared" si="50"/>
        <v/>
      </c>
      <c r="AB115" s="2" t="str">
        <f t="shared" si="51"/>
        <v/>
      </c>
      <c r="AC115" s="4">
        <f t="shared" si="52"/>
        <v>12</v>
      </c>
      <c r="AD115" s="1" t="str">
        <f t="shared" si="53"/>
        <v/>
      </c>
      <c r="AE115" s="4"/>
      <c r="AF115" s="4"/>
      <c r="AG115" s="4"/>
      <c r="AH115" s="4"/>
      <c r="AI115" s="4"/>
      <c r="AJ115" s="4"/>
      <c r="AK115" s="4"/>
      <c r="AL115" s="2" t="str">
        <f t="shared" si="54"/>
        <v/>
      </c>
      <c r="AM115" s="2" t="str">
        <f t="shared" si="55"/>
        <v/>
      </c>
      <c r="AN115" s="4">
        <f t="shared" si="56"/>
        <v>12</v>
      </c>
      <c r="AO115" s="1" t="str">
        <f t="shared" si="57"/>
        <v/>
      </c>
      <c r="AP115" s="4"/>
      <c r="AQ115" s="4"/>
      <c r="AR115" s="4"/>
      <c r="AS115" s="4"/>
      <c r="AT115" s="4"/>
      <c r="AU115" s="4"/>
      <c r="AV115" s="4"/>
      <c r="AW115" s="2" t="str">
        <f t="shared" si="58"/>
        <v/>
      </c>
      <c r="AX115" s="23" t="str">
        <f t="shared" si="59"/>
        <v/>
      </c>
      <c r="AY115" s="4">
        <f t="shared" si="60"/>
        <v>12</v>
      </c>
      <c r="AZ115" s="1" t="str">
        <f t="shared" si="61"/>
        <v/>
      </c>
      <c r="BA115" s="4"/>
      <c r="BB115" s="4"/>
      <c r="BC115" s="4"/>
      <c r="BD115" s="4"/>
      <c r="BE115" s="4"/>
      <c r="BF115" s="4"/>
      <c r="BG115" s="4"/>
      <c r="BH115" s="2" t="str">
        <f t="shared" si="62"/>
        <v/>
      </c>
      <c r="BI115" s="2" t="str">
        <f t="shared" si="63"/>
        <v/>
      </c>
      <c r="BJ115" s="4">
        <f t="shared" si="64"/>
        <v>12</v>
      </c>
      <c r="BK115" s="1" t="str">
        <f t="shared" si="65"/>
        <v/>
      </c>
      <c r="BL115" s="23"/>
      <c r="BM115" s="23"/>
      <c r="BN115" s="23"/>
      <c r="BO115" s="4"/>
      <c r="BP115" s="4"/>
      <c r="BQ115" s="23"/>
      <c r="BR115" s="4"/>
      <c r="BS115" s="4"/>
      <c r="BT115" s="23"/>
      <c r="BU115" s="23"/>
      <c r="BV115" s="23"/>
      <c r="BW115" s="4"/>
      <c r="BX115" s="4"/>
      <c r="BY115" s="23"/>
      <c r="BZ115" s="4"/>
      <c r="CA115" s="2" t="str">
        <f t="shared" si="66"/>
        <v/>
      </c>
      <c r="CB115" s="2" t="str">
        <f t="shared" si="67"/>
        <v/>
      </c>
      <c r="CC115" s="4">
        <f t="shared" si="68"/>
        <v>12</v>
      </c>
      <c r="CD115" s="1" t="str">
        <f t="shared" si="69"/>
        <v/>
      </c>
      <c r="CE115" s="23"/>
      <c r="CF115" s="4"/>
      <c r="CG115" s="4"/>
      <c r="CH115" s="2" t="str">
        <f t="shared" si="70"/>
        <v/>
      </c>
      <c r="CI115" s="2" t="str">
        <f t="shared" si="71"/>
        <v/>
      </c>
    </row>
    <row r="116" spans="2:87" ht="21.75" customHeight="1">
      <c r="B116" s="38">
        <v>13</v>
      </c>
      <c r="C116" s="41"/>
      <c r="D116" s="45"/>
      <c r="E116" s="45"/>
      <c r="F116" s="45"/>
      <c r="G116" s="45"/>
      <c r="H116" s="45"/>
      <c r="I116" s="45"/>
      <c r="J116" s="45"/>
      <c r="K116" s="53"/>
      <c r="L116" s="53"/>
      <c r="M116" s="53"/>
      <c r="N116" s="45"/>
      <c r="O116" s="45"/>
      <c r="R116" s="4">
        <f t="shared" si="48"/>
        <v>13</v>
      </c>
      <c r="S116" s="1" t="str">
        <f t="shared" si="49"/>
        <v/>
      </c>
      <c r="T116" s="4"/>
      <c r="U116" s="4"/>
      <c r="V116" s="4"/>
      <c r="W116" s="4"/>
      <c r="X116" s="4"/>
      <c r="Y116" s="4"/>
      <c r="Z116" s="4"/>
      <c r="AA116" s="2" t="str">
        <f t="shared" si="50"/>
        <v/>
      </c>
      <c r="AB116" s="2" t="str">
        <f t="shared" si="51"/>
        <v/>
      </c>
      <c r="AC116" s="4">
        <f t="shared" si="52"/>
        <v>13</v>
      </c>
      <c r="AD116" s="1" t="str">
        <f t="shared" si="53"/>
        <v/>
      </c>
      <c r="AE116" s="4"/>
      <c r="AF116" s="4"/>
      <c r="AG116" s="4"/>
      <c r="AH116" s="4"/>
      <c r="AI116" s="4"/>
      <c r="AJ116" s="4"/>
      <c r="AK116" s="4"/>
      <c r="AL116" s="2" t="str">
        <f t="shared" si="54"/>
        <v/>
      </c>
      <c r="AM116" s="2" t="str">
        <f t="shared" si="55"/>
        <v/>
      </c>
      <c r="AN116" s="4">
        <f t="shared" si="56"/>
        <v>13</v>
      </c>
      <c r="AO116" s="1" t="str">
        <f t="shared" si="57"/>
        <v/>
      </c>
      <c r="AP116" s="4"/>
      <c r="AQ116" s="4"/>
      <c r="AR116" s="4"/>
      <c r="AS116" s="4"/>
      <c r="AT116" s="4"/>
      <c r="AU116" s="4"/>
      <c r="AV116" s="4"/>
      <c r="AW116" s="2" t="str">
        <f t="shared" si="58"/>
        <v/>
      </c>
      <c r="AX116" s="23" t="str">
        <f t="shared" si="59"/>
        <v/>
      </c>
      <c r="AY116" s="4">
        <f t="shared" si="60"/>
        <v>13</v>
      </c>
      <c r="AZ116" s="1" t="str">
        <f t="shared" si="61"/>
        <v/>
      </c>
      <c r="BA116" s="4"/>
      <c r="BB116" s="4"/>
      <c r="BC116" s="4"/>
      <c r="BD116" s="4"/>
      <c r="BE116" s="4"/>
      <c r="BF116" s="4"/>
      <c r="BG116" s="4"/>
      <c r="BH116" s="2" t="str">
        <f t="shared" si="62"/>
        <v/>
      </c>
      <c r="BI116" s="2" t="str">
        <f t="shared" si="63"/>
        <v/>
      </c>
      <c r="BJ116" s="4">
        <f t="shared" si="64"/>
        <v>13</v>
      </c>
      <c r="BK116" s="1" t="str">
        <f t="shared" si="65"/>
        <v/>
      </c>
      <c r="BL116" s="23"/>
      <c r="BM116" s="23"/>
      <c r="BN116" s="23"/>
      <c r="BO116" s="4"/>
      <c r="BP116" s="4"/>
      <c r="BQ116" s="23"/>
      <c r="BR116" s="4"/>
      <c r="BS116" s="4"/>
      <c r="BT116" s="23"/>
      <c r="BU116" s="23"/>
      <c r="BV116" s="23"/>
      <c r="BW116" s="4"/>
      <c r="BX116" s="4"/>
      <c r="BY116" s="23"/>
      <c r="BZ116" s="4"/>
      <c r="CA116" s="2" t="str">
        <f t="shared" si="66"/>
        <v/>
      </c>
      <c r="CB116" s="2" t="str">
        <f t="shared" si="67"/>
        <v/>
      </c>
      <c r="CC116" s="4">
        <f t="shared" si="68"/>
        <v>13</v>
      </c>
      <c r="CD116" s="1" t="str">
        <f t="shared" si="69"/>
        <v/>
      </c>
      <c r="CE116" s="23"/>
      <c r="CF116" s="4"/>
      <c r="CG116" s="4"/>
      <c r="CH116" s="2" t="str">
        <f t="shared" si="70"/>
        <v/>
      </c>
      <c r="CI116" s="2" t="str">
        <f t="shared" si="71"/>
        <v/>
      </c>
    </row>
    <row r="117" spans="2:87" ht="21.75" customHeight="1">
      <c r="B117" s="38">
        <v>14</v>
      </c>
      <c r="C117" s="41"/>
      <c r="D117" s="45"/>
      <c r="E117" s="45"/>
      <c r="F117" s="45"/>
      <c r="G117" s="45"/>
      <c r="H117" s="45"/>
      <c r="I117" s="45"/>
      <c r="J117" s="45"/>
      <c r="K117" s="53"/>
      <c r="L117" s="53"/>
      <c r="M117" s="53"/>
      <c r="N117" s="45"/>
      <c r="O117" s="45"/>
      <c r="R117" s="4">
        <f t="shared" si="48"/>
        <v>14</v>
      </c>
      <c r="S117" s="1" t="str">
        <f t="shared" si="49"/>
        <v/>
      </c>
      <c r="T117" s="4"/>
      <c r="U117" s="4"/>
      <c r="V117" s="4"/>
      <c r="W117" s="4"/>
      <c r="X117" s="4"/>
      <c r="Y117" s="4"/>
      <c r="Z117" s="4"/>
      <c r="AA117" s="2" t="str">
        <f t="shared" si="50"/>
        <v/>
      </c>
      <c r="AB117" s="2" t="str">
        <f t="shared" si="51"/>
        <v/>
      </c>
      <c r="AC117" s="4">
        <f t="shared" si="52"/>
        <v>14</v>
      </c>
      <c r="AD117" s="1" t="str">
        <f t="shared" si="53"/>
        <v/>
      </c>
      <c r="AE117" s="4"/>
      <c r="AF117" s="4"/>
      <c r="AG117" s="4"/>
      <c r="AH117" s="4"/>
      <c r="AI117" s="4"/>
      <c r="AJ117" s="4"/>
      <c r="AK117" s="4"/>
      <c r="AL117" s="2" t="str">
        <f t="shared" si="54"/>
        <v/>
      </c>
      <c r="AM117" s="2" t="str">
        <f t="shared" si="55"/>
        <v/>
      </c>
      <c r="AN117" s="4">
        <f t="shared" si="56"/>
        <v>14</v>
      </c>
      <c r="AO117" s="1" t="str">
        <f t="shared" si="57"/>
        <v/>
      </c>
      <c r="AP117" s="4"/>
      <c r="AQ117" s="4"/>
      <c r="AR117" s="4"/>
      <c r="AS117" s="4"/>
      <c r="AT117" s="4"/>
      <c r="AU117" s="4"/>
      <c r="AV117" s="4"/>
      <c r="AW117" s="2" t="str">
        <f t="shared" si="58"/>
        <v/>
      </c>
      <c r="AX117" s="23" t="str">
        <f t="shared" si="59"/>
        <v/>
      </c>
      <c r="AY117" s="4">
        <f t="shared" si="60"/>
        <v>14</v>
      </c>
      <c r="AZ117" s="1" t="str">
        <f t="shared" si="61"/>
        <v/>
      </c>
      <c r="BA117" s="4"/>
      <c r="BB117" s="4"/>
      <c r="BC117" s="4"/>
      <c r="BD117" s="4"/>
      <c r="BE117" s="4"/>
      <c r="BF117" s="4"/>
      <c r="BG117" s="4"/>
      <c r="BH117" s="2" t="str">
        <f t="shared" si="62"/>
        <v/>
      </c>
      <c r="BI117" s="2" t="str">
        <f t="shared" si="63"/>
        <v/>
      </c>
      <c r="BJ117" s="4">
        <f t="shared" si="64"/>
        <v>14</v>
      </c>
      <c r="BK117" s="1" t="str">
        <f t="shared" si="65"/>
        <v/>
      </c>
      <c r="BL117" s="23"/>
      <c r="BM117" s="23"/>
      <c r="BN117" s="23"/>
      <c r="BO117" s="4"/>
      <c r="BP117" s="4"/>
      <c r="BQ117" s="23"/>
      <c r="BR117" s="4"/>
      <c r="BS117" s="4"/>
      <c r="BT117" s="23"/>
      <c r="BU117" s="23"/>
      <c r="BV117" s="23"/>
      <c r="BW117" s="4"/>
      <c r="BX117" s="4"/>
      <c r="BY117" s="23"/>
      <c r="BZ117" s="4"/>
      <c r="CA117" s="2" t="str">
        <f t="shared" si="66"/>
        <v/>
      </c>
      <c r="CB117" s="2" t="str">
        <f t="shared" si="67"/>
        <v/>
      </c>
      <c r="CC117" s="4">
        <f t="shared" si="68"/>
        <v>14</v>
      </c>
      <c r="CD117" s="1" t="str">
        <f t="shared" si="69"/>
        <v/>
      </c>
      <c r="CE117" s="23"/>
      <c r="CF117" s="4"/>
      <c r="CG117" s="4"/>
      <c r="CH117" s="2" t="str">
        <f t="shared" si="70"/>
        <v/>
      </c>
      <c r="CI117" s="2" t="str">
        <f t="shared" si="71"/>
        <v/>
      </c>
    </row>
    <row r="118" spans="2:87" ht="21.75" customHeight="1">
      <c r="B118" s="38">
        <v>15</v>
      </c>
      <c r="C118" s="41"/>
      <c r="D118" s="45"/>
      <c r="E118" s="45"/>
      <c r="F118" s="45"/>
      <c r="G118" s="45"/>
      <c r="H118" s="45"/>
      <c r="I118" s="45"/>
      <c r="J118" s="45"/>
      <c r="K118" s="53"/>
      <c r="L118" s="53"/>
      <c r="M118" s="53"/>
      <c r="N118" s="45"/>
      <c r="O118" s="45"/>
      <c r="R118" s="4">
        <f t="shared" si="48"/>
        <v>15</v>
      </c>
      <c r="S118" s="1" t="str">
        <f t="shared" si="49"/>
        <v/>
      </c>
      <c r="T118" s="4"/>
      <c r="U118" s="4"/>
      <c r="V118" s="4"/>
      <c r="W118" s="4"/>
      <c r="X118" s="4"/>
      <c r="Y118" s="4"/>
      <c r="Z118" s="4"/>
      <c r="AA118" s="2" t="str">
        <f t="shared" si="50"/>
        <v/>
      </c>
      <c r="AB118" s="2" t="str">
        <f t="shared" si="51"/>
        <v/>
      </c>
      <c r="AC118" s="4">
        <f t="shared" si="52"/>
        <v>15</v>
      </c>
      <c r="AD118" s="1" t="str">
        <f t="shared" si="53"/>
        <v/>
      </c>
      <c r="AE118" s="4"/>
      <c r="AF118" s="4"/>
      <c r="AG118" s="4"/>
      <c r="AH118" s="4"/>
      <c r="AI118" s="4"/>
      <c r="AJ118" s="4"/>
      <c r="AK118" s="4"/>
      <c r="AL118" s="2" t="str">
        <f t="shared" si="54"/>
        <v/>
      </c>
      <c r="AM118" s="2" t="str">
        <f t="shared" si="55"/>
        <v/>
      </c>
      <c r="AN118" s="4">
        <f t="shared" si="56"/>
        <v>15</v>
      </c>
      <c r="AO118" s="1" t="str">
        <f t="shared" si="57"/>
        <v/>
      </c>
      <c r="AP118" s="4"/>
      <c r="AQ118" s="4"/>
      <c r="AR118" s="4"/>
      <c r="AS118" s="4"/>
      <c r="AT118" s="4"/>
      <c r="AU118" s="4"/>
      <c r="AV118" s="4"/>
      <c r="AW118" s="2" t="str">
        <f t="shared" si="58"/>
        <v/>
      </c>
      <c r="AX118" s="23" t="str">
        <f t="shared" si="59"/>
        <v/>
      </c>
      <c r="AY118" s="4">
        <f t="shared" si="60"/>
        <v>15</v>
      </c>
      <c r="AZ118" s="1" t="str">
        <f t="shared" si="61"/>
        <v/>
      </c>
      <c r="BA118" s="4"/>
      <c r="BB118" s="4"/>
      <c r="BC118" s="4"/>
      <c r="BD118" s="4"/>
      <c r="BE118" s="4"/>
      <c r="BF118" s="4"/>
      <c r="BG118" s="4"/>
      <c r="BH118" s="2" t="str">
        <f t="shared" si="62"/>
        <v/>
      </c>
      <c r="BI118" s="2" t="str">
        <f t="shared" si="63"/>
        <v/>
      </c>
      <c r="BJ118" s="4">
        <f t="shared" si="64"/>
        <v>15</v>
      </c>
      <c r="BK118" s="1" t="str">
        <f t="shared" si="65"/>
        <v/>
      </c>
      <c r="BL118" s="23"/>
      <c r="BM118" s="23"/>
      <c r="BN118" s="23"/>
      <c r="BO118" s="4"/>
      <c r="BP118" s="4"/>
      <c r="BQ118" s="23"/>
      <c r="BR118" s="4"/>
      <c r="BS118" s="4"/>
      <c r="BT118" s="23"/>
      <c r="BU118" s="23"/>
      <c r="BV118" s="23"/>
      <c r="BW118" s="4"/>
      <c r="BX118" s="4"/>
      <c r="BY118" s="23"/>
      <c r="BZ118" s="4"/>
      <c r="CA118" s="2" t="str">
        <f t="shared" si="66"/>
        <v/>
      </c>
      <c r="CB118" s="2" t="str">
        <f t="shared" si="67"/>
        <v/>
      </c>
      <c r="CC118" s="4">
        <f t="shared" si="68"/>
        <v>15</v>
      </c>
      <c r="CD118" s="1" t="str">
        <f t="shared" si="69"/>
        <v/>
      </c>
      <c r="CE118" s="23"/>
      <c r="CF118" s="4"/>
      <c r="CG118" s="4"/>
      <c r="CH118" s="2" t="str">
        <f t="shared" si="70"/>
        <v/>
      </c>
      <c r="CI118" s="2" t="str">
        <f t="shared" si="71"/>
        <v/>
      </c>
    </row>
    <row r="119" spans="2:87" ht="21.75" customHeight="1">
      <c r="B119" s="38">
        <v>16</v>
      </c>
      <c r="C119" s="41"/>
      <c r="D119" s="45"/>
      <c r="E119" s="45"/>
      <c r="F119" s="45"/>
      <c r="G119" s="45"/>
      <c r="H119" s="45"/>
      <c r="I119" s="45"/>
      <c r="J119" s="45"/>
      <c r="K119" s="53"/>
      <c r="L119" s="53"/>
      <c r="M119" s="53"/>
      <c r="N119" s="45"/>
      <c r="O119" s="45"/>
      <c r="R119" s="4">
        <f t="shared" si="48"/>
        <v>16</v>
      </c>
      <c r="S119" s="1" t="str">
        <f t="shared" si="49"/>
        <v/>
      </c>
      <c r="T119" s="4"/>
      <c r="U119" s="4"/>
      <c r="V119" s="4"/>
      <c r="W119" s="4"/>
      <c r="X119" s="4"/>
      <c r="Y119" s="4"/>
      <c r="Z119" s="4"/>
      <c r="AA119" s="2" t="str">
        <f t="shared" si="50"/>
        <v/>
      </c>
      <c r="AB119" s="2" t="str">
        <f t="shared" si="51"/>
        <v/>
      </c>
      <c r="AC119" s="4">
        <f t="shared" si="52"/>
        <v>16</v>
      </c>
      <c r="AD119" s="1" t="str">
        <f t="shared" si="53"/>
        <v/>
      </c>
      <c r="AE119" s="4"/>
      <c r="AF119" s="4"/>
      <c r="AG119" s="4"/>
      <c r="AH119" s="4"/>
      <c r="AI119" s="4"/>
      <c r="AJ119" s="4"/>
      <c r="AK119" s="4"/>
      <c r="AL119" s="2" t="str">
        <f t="shared" si="54"/>
        <v/>
      </c>
      <c r="AM119" s="2" t="str">
        <f t="shared" si="55"/>
        <v/>
      </c>
      <c r="AN119" s="4">
        <f t="shared" si="56"/>
        <v>16</v>
      </c>
      <c r="AO119" s="1" t="str">
        <f t="shared" si="57"/>
        <v/>
      </c>
      <c r="AP119" s="4"/>
      <c r="AQ119" s="4"/>
      <c r="AR119" s="4"/>
      <c r="AS119" s="4"/>
      <c r="AT119" s="4"/>
      <c r="AU119" s="4"/>
      <c r="AV119" s="4"/>
      <c r="AW119" s="2" t="str">
        <f t="shared" si="58"/>
        <v/>
      </c>
      <c r="AX119" s="23" t="str">
        <f t="shared" si="59"/>
        <v/>
      </c>
      <c r="AY119" s="4">
        <f t="shared" si="60"/>
        <v>16</v>
      </c>
      <c r="AZ119" s="1" t="str">
        <f t="shared" si="61"/>
        <v/>
      </c>
      <c r="BA119" s="4"/>
      <c r="BB119" s="4"/>
      <c r="BC119" s="4"/>
      <c r="BD119" s="4"/>
      <c r="BE119" s="4"/>
      <c r="BF119" s="4"/>
      <c r="BG119" s="4"/>
      <c r="BH119" s="2" t="str">
        <f t="shared" si="62"/>
        <v/>
      </c>
      <c r="BI119" s="2" t="str">
        <f t="shared" si="63"/>
        <v/>
      </c>
      <c r="BJ119" s="4">
        <f t="shared" si="64"/>
        <v>16</v>
      </c>
      <c r="BK119" s="1" t="str">
        <f t="shared" si="65"/>
        <v/>
      </c>
      <c r="BL119" s="23"/>
      <c r="BM119" s="23"/>
      <c r="BN119" s="23"/>
      <c r="BO119" s="4"/>
      <c r="BP119" s="4"/>
      <c r="BQ119" s="23"/>
      <c r="BR119" s="4"/>
      <c r="BS119" s="4"/>
      <c r="BT119" s="23"/>
      <c r="BU119" s="23"/>
      <c r="BV119" s="23"/>
      <c r="BW119" s="4"/>
      <c r="BX119" s="4"/>
      <c r="BY119" s="23"/>
      <c r="BZ119" s="4"/>
      <c r="CA119" s="2" t="str">
        <f t="shared" si="66"/>
        <v/>
      </c>
      <c r="CB119" s="2" t="str">
        <f t="shared" si="67"/>
        <v/>
      </c>
      <c r="CC119" s="4">
        <f t="shared" si="68"/>
        <v>16</v>
      </c>
      <c r="CD119" s="1" t="str">
        <f t="shared" si="69"/>
        <v/>
      </c>
      <c r="CE119" s="23"/>
      <c r="CF119" s="4"/>
      <c r="CG119" s="4"/>
      <c r="CH119" s="2" t="str">
        <f t="shared" si="70"/>
        <v/>
      </c>
      <c r="CI119" s="2" t="str">
        <f t="shared" si="71"/>
        <v/>
      </c>
    </row>
    <row r="120" spans="2:87" ht="21.75" customHeight="1">
      <c r="B120" s="38">
        <v>17</v>
      </c>
      <c r="C120" s="41"/>
      <c r="D120" s="45"/>
      <c r="E120" s="45"/>
      <c r="F120" s="45"/>
      <c r="G120" s="45"/>
      <c r="H120" s="45"/>
      <c r="I120" s="45"/>
      <c r="J120" s="45"/>
      <c r="K120" s="53"/>
      <c r="L120" s="53"/>
      <c r="M120" s="53"/>
      <c r="N120" s="45"/>
      <c r="O120" s="45"/>
      <c r="R120" s="4">
        <f t="shared" si="48"/>
        <v>17</v>
      </c>
      <c r="S120" s="1" t="str">
        <f t="shared" si="49"/>
        <v/>
      </c>
      <c r="T120" s="4"/>
      <c r="U120" s="4"/>
      <c r="V120" s="4"/>
      <c r="W120" s="4"/>
      <c r="X120" s="4"/>
      <c r="Y120" s="4"/>
      <c r="Z120" s="4"/>
      <c r="AA120" s="2" t="str">
        <f t="shared" si="50"/>
        <v/>
      </c>
      <c r="AB120" s="2" t="str">
        <f t="shared" si="51"/>
        <v/>
      </c>
      <c r="AC120" s="4">
        <f t="shared" si="52"/>
        <v>17</v>
      </c>
      <c r="AD120" s="1" t="str">
        <f t="shared" si="53"/>
        <v/>
      </c>
      <c r="AE120" s="4"/>
      <c r="AF120" s="4"/>
      <c r="AG120" s="4"/>
      <c r="AH120" s="4"/>
      <c r="AI120" s="4"/>
      <c r="AJ120" s="4"/>
      <c r="AK120" s="4"/>
      <c r="AL120" s="2" t="str">
        <f t="shared" si="54"/>
        <v/>
      </c>
      <c r="AM120" s="2" t="str">
        <f t="shared" si="55"/>
        <v/>
      </c>
      <c r="AN120" s="4">
        <f t="shared" si="56"/>
        <v>17</v>
      </c>
      <c r="AO120" s="1" t="str">
        <f t="shared" si="57"/>
        <v/>
      </c>
      <c r="AP120" s="4"/>
      <c r="AQ120" s="4"/>
      <c r="AR120" s="4"/>
      <c r="AS120" s="4"/>
      <c r="AT120" s="4"/>
      <c r="AU120" s="4"/>
      <c r="AV120" s="4"/>
      <c r="AW120" s="2" t="str">
        <f t="shared" si="58"/>
        <v/>
      </c>
      <c r="AX120" s="23" t="str">
        <f t="shared" si="59"/>
        <v/>
      </c>
      <c r="AY120" s="4">
        <f t="shared" si="60"/>
        <v>17</v>
      </c>
      <c r="AZ120" s="1" t="str">
        <f t="shared" si="61"/>
        <v/>
      </c>
      <c r="BA120" s="4"/>
      <c r="BB120" s="4"/>
      <c r="BC120" s="4"/>
      <c r="BD120" s="4"/>
      <c r="BE120" s="4"/>
      <c r="BF120" s="4"/>
      <c r="BG120" s="4"/>
      <c r="BH120" s="2" t="str">
        <f t="shared" si="62"/>
        <v/>
      </c>
      <c r="BI120" s="2" t="str">
        <f t="shared" si="63"/>
        <v/>
      </c>
      <c r="BJ120" s="4">
        <f t="shared" si="64"/>
        <v>17</v>
      </c>
      <c r="BK120" s="1" t="str">
        <f t="shared" si="65"/>
        <v/>
      </c>
      <c r="BL120" s="23"/>
      <c r="BM120" s="23"/>
      <c r="BN120" s="23"/>
      <c r="BO120" s="4"/>
      <c r="BP120" s="4"/>
      <c r="BQ120" s="23"/>
      <c r="BR120" s="4"/>
      <c r="BS120" s="4"/>
      <c r="BT120" s="23"/>
      <c r="BU120" s="23"/>
      <c r="BV120" s="23"/>
      <c r="BW120" s="4"/>
      <c r="BX120" s="4"/>
      <c r="BY120" s="23"/>
      <c r="BZ120" s="4"/>
      <c r="CA120" s="2" t="str">
        <f t="shared" si="66"/>
        <v/>
      </c>
      <c r="CB120" s="2" t="str">
        <f t="shared" si="67"/>
        <v/>
      </c>
      <c r="CC120" s="4">
        <f t="shared" si="68"/>
        <v>17</v>
      </c>
      <c r="CD120" s="1" t="str">
        <f t="shared" si="69"/>
        <v/>
      </c>
      <c r="CE120" s="23"/>
      <c r="CF120" s="4"/>
      <c r="CG120" s="4"/>
      <c r="CH120" s="2" t="str">
        <f t="shared" si="70"/>
        <v/>
      </c>
      <c r="CI120" s="2" t="str">
        <f t="shared" si="71"/>
        <v/>
      </c>
    </row>
    <row r="121" spans="2:87" ht="21.75" customHeight="1">
      <c r="B121" s="38">
        <v>18</v>
      </c>
      <c r="C121" s="54"/>
      <c r="D121" s="49"/>
      <c r="E121" s="49"/>
      <c r="F121" s="49"/>
      <c r="G121" s="49"/>
      <c r="H121" s="49"/>
      <c r="I121" s="49"/>
      <c r="J121" s="49"/>
      <c r="K121" s="40"/>
      <c r="L121" s="40"/>
      <c r="M121" s="40"/>
      <c r="N121" s="49"/>
      <c r="O121" s="49"/>
      <c r="R121" s="4">
        <f t="shared" si="48"/>
        <v>18</v>
      </c>
      <c r="S121" s="1" t="str">
        <f t="shared" si="49"/>
        <v/>
      </c>
      <c r="T121" s="4"/>
      <c r="U121" s="4"/>
      <c r="V121" s="4"/>
      <c r="W121" s="4"/>
      <c r="X121" s="4"/>
      <c r="Y121" s="4"/>
      <c r="Z121" s="4"/>
      <c r="AA121" s="25" t="str">
        <f t="shared" si="50"/>
        <v/>
      </c>
      <c r="AB121" s="25" t="str">
        <f t="shared" si="51"/>
        <v/>
      </c>
      <c r="AC121" s="4">
        <f t="shared" si="52"/>
        <v>18</v>
      </c>
      <c r="AD121" s="1" t="str">
        <f t="shared" si="53"/>
        <v/>
      </c>
      <c r="AE121" s="4"/>
      <c r="AF121" s="4"/>
      <c r="AG121" s="4"/>
      <c r="AH121" s="4"/>
      <c r="AI121" s="4"/>
      <c r="AJ121" s="4"/>
      <c r="AK121" s="4"/>
      <c r="AL121" s="25" t="str">
        <f t="shared" si="54"/>
        <v/>
      </c>
      <c r="AM121" s="25" t="str">
        <f t="shared" si="55"/>
        <v/>
      </c>
      <c r="AN121" s="4">
        <f t="shared" si="56"/>
        <v>18</v>
      </c>
      <c r="AO121" s="1" t="str">
        <f t="shared" si="57"/>
        <v/>
      </c>
      <c r="AP121" s="4"/>
      <c r="AQ121" s="4"/>
      <c r="AR121" s="4"/>
      <c r="AS121" s="4"/>
      <c r="AT121" s="4"/>
      <c r="AU121" s="4"/>
      <c r="AV121" s="4"/>
      <c r="AW121" s="2" t="str">
        <f t="shared" si="58"/>
        <v/>
      </c>
      <c r="AX121" s="23" t="str">
        <f t="shared" si="59"/>
        <v/>
      </c>
      <c r="AY121" s="4">
        <f t="shared" si="60"/>
        <v>18</v>
      </c>
      <c r="AZ121" s="1" t="str">
        <f t="shared" si="61"/>
        <v/>
      </c>
      <c r="BA121" s="4"/>
      <c r="BB121" s="4"/>
      <c r="BC121" s="4"/>
      <c r="BD121" s="4"/>
      <c r="BE121" s="4"/>
      <c r="BF121" s="4"/>
      <c r="BG121" s="4"/>
      <c r="BH121" s="25" t="str">
        <f t="shared" si="62"/>
        <v/>
      </c>
      <c r="BI121" s="25" t="str">
        <f t="shared" si="63"/>
        <v/>
      </c>
      <c r="BJ121" s="4">
        <f t="shared" si="64"/>
        <v>18</v>
      </c>
      <c r="BK121" s="1" t="str">
        <f t="shared" si="65"/>
        <v/>
      </c>
      <c r="BL121" s="23"/>
      <c r="BM121" s="23"/>
      <c r="BN121" s="23"/>
      <c r="BO121" s="4"/>
      <c r="BP121" s="4"/>
      <c r="BQ121" s="23"/>
      <c r="BR121" s="4"/>
      <c r="BS121" s="4"/>
      <c r="BT121" s="23"/>
      <c r="BU121" s="23"/>
      <c r="BV121" s="23"/>
      <c r="BW121" s="4"/>
      <c r="BX121" s="4"/>
      <c r="BY121" s="23"/>
      <c r="BZ121" s="4"/>
      <c r="CA121" s="25" t="str">
        <f t="shared" si="66"/>
        <v/>
      </c>
      <c r="CB121" s="25" t="str">
        <f t="shared" si="67"/>
        <v/>
      </c>
      <c r="CC121" s="4">
        <f t="shared" si="68"/>
        <v>18</v>
      </c>
      <c r="CD121" s="1" t="str">
        <f t="shared" si="69"/>
        <v/>
      </c>
      <c r="CE121" s="23"/>
      <c r="CF121" s="4"/>
      <c r="CG121" s="4"/>
      <c r="CH121" s="25" t="str">
        <f t="shared" si="70"/>
        <v/>
      </c>
      <c r="CI121" s="25" t="str">
        <f t="shared" si="71"/>
        <v/>
      </c>
    </row>
    <row r="122" spans="2:87" ht="21.75" customHeight="1">
      <c r="B122" s="38">
        <v>19</v>
      </c>
      <c r="C122" s="41"/>
      <c r="D122" s="45"/>
      <c r="E122" s="45"/>
      <c r="F122" s="45"/>
      <c r="G122" s="45"/>
      <c r="H122" s="45"/>
      <c r="I122" s="45"/>
      <c r="J122" s="45"/>
      <c r="K122" s="38"/>
      <c r="L122" s="38"/>
      <c r="M122" s="38"/>
      <c r="N122" s="45"/>
      <c r="O122" s="45"/>
      <c r="R122" s="4">
        <f t="shared" si="48"/>
        <v>19</v>
      </c>
      <c r="S122" s="1" t="str">
        <f t="shared" si="49"/>
        <v/>
      </c>
      <c r="T122" s="4"/>
      <c r="U122" s="4"/>
      <c r="V122" s="4"/>
      <c r="W122" s="4"/>
      <c r="X122" s="4"/>
      <c r="Y122" s="4"/>
      <c r="Z122" s="4"/>
      <c r="AA122" s="2" t="str">
        <f t="shared" si="50"/>
        <v/>
      </c>
      <c r="AB122" s="2" t="str">
        <f t="shared" si="51"/>
        <v/>
      </c>
      <c r="AC122" s="4">
        <f t="shared" si="52"/>
        <v>19</v>
      </c>
      <c r="AD122" s="1" t="str">
        <f t="shared" si="53"/>
        <v/>
      </c>
      <c r="AE122" s="4"/>
      <c r="AF122" s="4"/>
      <c r="AG122" s="4"/>
      <c r="AH122" s="4"/>
      <c r="AI122" s="4"/>
      <c r="AJ122" s="4"/>
      <c r="AK122" s="4"/>
      <c r="AL122" s="2" t="str">
        <f t="shared" si="54"/>
        <v/>
      </c>
      <c r="AM122" s="2" t="str">
        <f t="shared" si="55"/>
        <v/>
      </c>
      <c r="AN122" s="4">
        <f t="shared" si="56"/>
        <v>19</v>
      </c>
      <c r="AO122" s="1" t="str">
        <f t="shared" si="57"/>
        <v/>
      </c>
      <c r="AP122" s="4"/>
      <c r="AQ122" s="4"/>
      <c r="AR122" s="4"/>
      <c r="AS122" s="4"/>
      <c r="AT122" s="4"/>
      <c r="AU122" s="4"/>
      <c r="AV122" s="4"/>
      <c r="AW122" s="2" t="str">
        <f t="shared" si="58"/>
        <v/>
      </c>
      <c r="AX122" s="23" t="str">
        <f t="shared" si="59"/>
        <v/>
      </c>
      <c r="AY122" s="4">
        <f t="shared" si="60"/>
        <v>19</v>
      </c>
      <c r="AZ122" s="1" t="str">
        <f t="shared" si="61"/>
        <v/>
      </c>
      <c r="BA122" s="4"/>
      <c r="BB122" s="4"/>
      <c r="BC122" s="4"/>
      <c r="BD122" s="4"/>
      <c r="BE122" s="4"/>
      <c r="BF122" s="4"/>
      <c r="BG122" s="4"/>
      <c r="BH122" s="2" t="str">
        <f t="shared" si="62"/>
        <v/>
      </c>
      <c r="BI122" s="2" t="str">
        <f t="shared" si="63"/>
        <v/>
      </c>
      <c r="BJ122" s="4">
        <f t="shared" si="64"/>
        <v>19</v>
      </c>
      <c r="BK122" s="1" t="str">
        <f t="shared" si="65"/>
        <v/>
      </c>
      <c r="BL122" s="23"/>
      <c r="BM122" s="23"/>
      <c r="BN122" s="23"/>
      <c r="BO122" s="4"/>
      <c r="BP122" s="4"/>
      <c r="BQ122" s="23"/>
      <c r="BR122" s="4"/>
      <c r="BS122" s="4"/>
      <c r="BT122" s="23"/>
      <c r="BU122" s="23"/>
      <c r="BV122" s="23"/>
      <c r="BW122" s="4"/>
      <c r="BX122" s="4"/>
      <c r="BY122" s="23"/>
      <c r="BZ122" s="4"/>
      <c r="CA122" s="2" t="str">
        <f t="shared" si="66"/>
        <v/>
      </c>
      <c r="CB122" s="2" t="str">
        <f t="shared" si="67"/>
        <v/>
      </c>
      <c r="CC122" s="4">
        <f t="shared" si="68"/>
        <v>19</v>
      </c>
      <c r="CD122" s="1" t="str">
        <f t="shared" si="69"/>
        <v/>
      </c>
      <c r="CE122" s="23"/>
      <c r="CF122" s="4"/>
      <c r="CG122" s="4"/>
      <c r="CH122" s="2" t="str">
        <f t="shared" si="70"/>
        <v/>
      </c>
      <c r="CI122" s="2" t="str">
        <f t="shared" si="71"/>
        <v/>
      </c>
    </row>
    <row r="123" spans="2:87" ht="21.75" customHeight="1">
      <c r="B123" s="38">
        <v>20</v>
      </c>
      <c r="C123" s="41"/>
      <c r="D123" s="45"/>
      <c r="E123" s="45"/>
      <c r="F123" s="45"/>
      <c r="G123" s="45"/>
      <c r="H123" s="45"/>
      <c r="I123" s="45"/>
      <c r="J123" s="45"/>
      <c r="K123" s="38"/>
      <c r="L123" s="38"/>
      <c r="M123" s="38"/>
      <c r="N123" s="45"/>
      <c r="O123" s="45"/>
      <c r="R123" s="4">
        <f t="shared" si="48"/>
        <v>20</v>
      </c>
      <c r="S123" s="1" t="str">
        <f t="shared" si="49"/>
        <v/>
      </c>
      <c r="T123" s="4"/>
      <c r="U123" s="4"/>
      <c r="V123" s="4"/>
      <c r="W123" s="4"/>
      <c r="X123" s="4"/>
      <c r="Y123" s="4"/>
      <c r="Z123" s="4"/>
      <c r="AA123" s="2" t="str">
        <f t="shared" si="50"/>
        <v/>
      </c>
      <c r="AB123" s="2" t="str">
        <f t="shared" si="51"/>
        <v/>
      </c>
      <c r="AC123" s="4">
        <f t="shared" si="52"/>
        <v>20</v>
      </c>
      <c r="AD123" s="1" t="str">
        <f t="shared" si="53"/>
        <v/>
      </c>
      <c r="AE123" s="4"/>
      <c r="AF123" s="4"/>
      <c r="AG123" s="4"/>
      <c r="AH123" s="4"/>
      <c r="AI123" s="4"/>
      <c r="AJ123" s="4"/>
      <c r="AK123" s="4"/>
      <c r="AL123" s="2" t="str">
        <f t="shared" si="54"/>
        <v/>
      </c>
      <c r="AM123" s="2" t="str">
        <f t="shared" si="55"/>
        <v/>
      </c>
      <c r="AN123" s="4">
        <f t="shared" si="56"/>
        <v>20</v>
      </c>
      <c r="AO123" s="1" t="str">
        <f t="shared" si="57"/>
        <v/>
      </c>
      <c r="AP123" s="4"/>
      <c r="AQ123" s="4"/>
      <c r="AR123" s="4"/>
      <c r="AS123" s="4"/>
      <c r="AT123" s="4"/>
      <c r="AU123" s="4"/>
      <c r="AV123" s="4"/>
      <c r="AW123" s="2" t="str">
        <f t="shared" si="58"/>
        <v/>
      </c>
      <c r="AX123" s="23" t="str">
        <f t="shared" si="59"/>
        <v/>
      </c>
      <c r="AY123" s="4">
        <f t="shared" si="60"/>
        <v>20</v>
      </c>
      <c r="AZ123" s="1" t="str">
        <f t="shared" si="61"/>
        <v/>
      </c>
      <c r="BA123" s="4"/>
      <c r="BB123" s="4"/>
      <c r="BC123" s="4"/>
      <c r="BD123" s="4"/>
      <c r="BE123" s="4"/>
      <c r="BF123" s="4"/>
      <c r="BG123" s="4"/>
      <c r="BH123" s="2" t="str">
        <f t="shared" si="62"/>
        <v/>
      </c>
      <c r="BI123" s="2" t="str">
        <f t="shared" si="63"/>
        <v/>
      </c>
      <c r="BJ123" s="4">
        <f t="shared" si="64"/>
        <v>20</v>
      </c>
      <c r="BK123" s="1" t="str">
        <f t="shared" si="65"/>
        <v/>
      </c>
      <c r="BL123" s="23"/>
      <c r="BM123" s="23"/>
      <c r="BN123" s="23"/>
      <c r="BO123" s="4"/>
      <c r="BP123" s="4"/>
      <c r="BQ123" s="23"/>
      <c r="BR123" s="4"/>
      <c r="BS123" s="4"/>
      <c r="BT123" s="23"/>
      <c r="BU123" s="23"/>
      <c r="BV123" s="23"/>
      <c r="BW123" s="4"/>
      <c r="BX123" s="4"/>
      <c r="BY123" s="23"/>
      <c r="BZ123" s="4"/>
      <c r="CA123" s="2" t="str">
        <f t="shared" si="66"/>
        <v/>
      </c>
      <c r="CB123" s="2" t="str">
        <f t="shared" si="67"/>
        <v/>
      </c>
      <c r="CC123" s="4">
        <f t="shared" si="68"/>
        <v>20</v>
      </c>
      <c r="CD123" s="1" t="str">
        <f t="shared" si="69"/>
        <v/>
      </c>
      <c r="CE123" s="23"/>
      <c r="CF123" s="4"/>
      <c r="CG123" s="4"/>
      <c r="CH123" s="2" t="str">
        <f t="shared" si="70"/>
        <v/>
      </c>
      <c r="CI123" s="2" t="str">
        <f t="shared" si="71"/>
        <v/>
      </c>
    </row>
    <row r="124" spans="2:87" ht="21.75" customHeight="1">
      <c r="B124" s="38">
        <v>21</v>
      </c>
      <c r="C124" s="41"/>
      <c r="D124" s="45"/>
      <c r="E124" s="45"/>
      <c r="F124" s="45"/>
      <c r="G124" s="45"/>
      <c r="H124" s="45"/>
      <c r="I124" s="45"/>
      <c r="J124" s="45"/>
      <c r="K124" s="38"/>
      <c r="L124" s="38"/>
      <c r="M124" s="38"/>
      <c r="N124" s="45"/>
      <c r="O124" s="45"/>
      <c r="R124" s="4">
        <f t="shared" si="48"/>
        <v>21</v>
      </c>
      <c r="S124" s="1" t="str">
        <f t="shared" si="49"/>
        <v/>
      </c>
      <c r="T124" s="4"/>
      <c r="U124" s="4"/>
      <c r="V124" s="4"/>
      <c r="W124" s="4"/>
      <c r="X124" s="4"/>
      <c r="Y124" s="4"/>
      <c r="Z124" s="4"/>
      <c r="AA124" s="2" t="str">
        <f t="shared" si="50"/>
        <v/>
      </c>
      <c r="AB124" s="2" t="str">
        <f t="shared" si="51"/>
        <v/>
      </c>
      <c r="AC124" s="4">
        <f t="shared" si="52"/>
        <v>21</v>
      </c>
      <c r="AD124" s="1" t="str">
        <f t="shared" si="53"/>
        <v/>
      </c>
      <c r="AE124" s="4"/>
      <c r="AF124" s="4"/>
      <c r="AG124" s="4"/>
      <c r="AH124" s="4"/>
      <c r="AI124" s="4"/>
      <c r="AJ124" s="4"/>
      <c r="AK124" s="4"/>
      <c r="AL124" s="2" t="str">
        <f t="shared" si="54"/>
        <v/>
      </c>
      <c r="AM124" s="2" t="str">
        <f t="shared" si="55"/>
        <v/>
      </c>
      <c r="AN124" s="4">
        <f t="shared" si="56"/>
        <v>21</v>
      </c>
      <c r="AO124" s="1" t="str">
        <f t="shared" si="57"/>
        <v/>
      </c>
      <c r="AP124" s="4"/>
      <c r="AQ124" s="4"/>
      <c r="AR124" s="4"/>
      <c r="AS124" s="4"/>
      <c r="AT124" s="4"/>
      <c r="AU124" s="4"/>
      <c r="AV124" s="4"/>
      <c r="AW124" s="2" t="str">
        <f t="shared" si="58"/>
        <v/>
      </c>
      <c r="AX124" s="23" t="str">
        <f t="shared" si="59"/>
        <v/>
      </c>
      <c r="AY124" s="4">
        <f t="shared" si="60"/>
        <v>21</v>
      </c>
      <c r="AZ124" s="1" t="str">
        <f t="shared" si="61"/>
        <v/>
      </c>
      <c r="BA124" s="4"/>
      <c r="BB124" s="4"/>
      <c r="BC124" s="4"/>
      <c r="BD124" s="4"/>
      <c r="BE124" s="4"/>
      <c r="BF124" s="4"/>
      <c r="BG124" s="4"/>
      <c r="BH124" s="2" t="str">
        <f t="shared" si="62"/>
        <v/>
      </c>
      <c r="BI124" s="2" t="str">
        <f t="shared" si="63"/>
        <v/>
      </c>
      <c r="BJ124" s="4">
        <f t="shared" si="64"/>
        <v>21</v>
      </c>
      <c r="BK124" s="1" t="str">
        <f t="shared" si="65"/>
        <v/>
      </c>
      <c r="BL124" s="23"/>
      <c r="BM124" s="23"/>
      <c r="BN124" s="23"/>
      <c r="BO124" s="4"/>
      <c r="BP124" s="4"/>
      <c r="BQ124" s="23"/>
      <c r="BR124" s="4"/>
      <c r="BS124" s="4"/>
      <c r="BT124" s="23"/>
      <c r="BU124" s="23"/>
      <c r="BV124" s="23"/>
      <c r="BW124" s="4"/>
      <c r="BX124" s="4"/>
      <c r="BY124" s="23"/>
      <c r="BZ124" s="4"/>
      <c r="CA124" s="2" t="str">
        <f t="shared" si="66"/>
        <v/>
      </c>
      <c r="CB124" s="2" t="str">
        <f t="shared" si="67"/>
        <v/>
      </c>
      <c r="CC124" s="4">
        <f t="shared" si="68"/>
        <v>21</v>
      </c>
      <c r="CD124" s="1" t="str">
        <f t="shared" si="69"/>
        <v/>
      </c>
      <c r="CE124" s="23"/>
      <c r="CF124" s="4"/>
      <c r="CG124" s="4"/>
      <c r="CH124" s="2" t="str">
        <f t="shared" si="70"/>
        <v/>
      </c>
      <c r="CI124" s="2" t="str">
        <f t="shared" si="71"/>
        <v/>
      </c>
    </row>
    <row r="125" spans="2:87" ht="21.75" customHeight="1">
      <c r="B125" s="38">
        <v>22</v>
      </c>
      <c r="C125" s="41"/>
      <c r="D125" s="45"/>
      <c r="E125" s="45"/>
      <c r="F125" s="45"/>
      <c r="G125" s="45"/>
      <c r="H125" s="45"/>
      <c r="I125" s="45"/>
      <c r="J125" s="45"/>
      <c r="K125" s="39"/>
      <c r="L125" s="39"/>
      <c r="M125" s="39"/>
      <c r="N125" s="45"/>
      <c r="O125" s="45"/>
      <c r="R125" s="4">
        <f t="shared" si="48"/>
        <v>22</v>
      </c>
      <c r="S125" s="1" t="str">
        <f t="shared" si="49"/>
        <v/>
      </c>
      <c r="T125" s="4"/>
      <c r="U125" s="4"/>
      <c r="V125" s="4"/>
      <c r="W125" s="4"/>
      <c r="X125" s="4"/>
      <c r="Y125" s="4"/>
      <c r="Z125" s="4"/>
      <c r="AA125" s="2" t="str">
        <f t="shared" si="50"/>
        <v/>
      </c>
      <c r="AB125" s="2" t="str">
        <f t="shared" si="51"/>
        <v/>
      </c>
      <c r="AC125" s="4">
        <f t="shared" si="52"/>
        <v>22</v>
      </c>
      <c r="AD125" s="1" t="str">
        <f t="shared" si="53"/>
        <v/>
      </c>
      <c r="AE125" s="4"/>
      <c r="AF125" s="4"/>
      <c r="AG125" s="4"/>
      <c r="AH125" s="4"/>
      <c r="AI125" s="4"/>
      <c r="AJ125" s="4"/>
      <c r="AK125" s="4"/>
      <c r="AL125" s="2" t="str">
        <f t="shared" si="54"/>
        <v/>
      </c>
      <c r="AM125" s="2" t="str">
        <f t="shared" si="55"/>
        <v/>
      </c>
      <c r="AN125" s="4">
        <f t="shared" si="56"/>
        <v>22</v>
      </c>
      <c r="AO125" s="1" t="str">
        <f t="shared" si="57"/>
        <v/>
      </c>
      <c r="AP125" s="4"/>
      <c r="AQ125" s="4"/>
      <c r="AR125" s="4"/>
      <c r="AS125" s="4"/>
      <c r="AT125" s="4"/>
      <c r="AU125" s="4"/>
      <c r="AV125" s="4"/>
      <c r="AW125" s="2" t="str">
        <f t="shared" si="58"/>
        <v/>
      </c>
      <c r="AX125" s="23" t="str">
        <f t="shared" si="59"/>
        <v/>
      </c>
      <c r="AY125" s="4">
        <f t="shared" si="60"/>
        <v>22</v>
      </c>
      <c r="AZ125" s="1" t="str">
        <f t="shared" si="61"/>
        <v/>
      </c>
      <c r="BA125" s="4"/>
      <c r="BB125" s="4"/>
      <c r="BC125" s="4"/>
      <c r="BD125" s="4"/>
      <c r="BE125" s="4"/>
      <c r="BF125" s="4"/>
      <c r="BG125" s="4"/>
      <c r="BH125" s="2" t="str">
        <f t="shared" si="62"/>
        <v/>
      </c>
      <c r="BI125" s="2" t="str">
        <f t="shared" si="63"/>
        <v/>
      </c>
      <c r="BJ125" s="4">
        <f t="shared" si="64"/>
        <v>22</v>
      </c>
      <c r="BK125" s="1" t="str">
        <f t="shared" si="65"/>
        <v/>
      </c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2" t="str">
        <f t="shared" si="66"/>
        <v/>
      </c>
      <c r="CB125" s="2" t="str">
        <f t="shared" si="67"/>
        <v/>
      </c>
      <c r="CC125" s="4">
        <f t="shared" si="68"/>
        <v>22</v>
      </c>
      <c r="CD125" s="1" t="str">
        <f t="shared" si="69"/>
        <v/>
      </c>
      <c r="CE125" s="4"/>
      <c r="CF125" s="4"/>
      <c r="CG125" s="4"/>
      <c r="CH125" s="2" t="str">
        <f t="shared" si="70"/>
        <v/>
      </c>
      <c r="CI125" s="2" t="str">
        <f t="shared" si="71"/>
        <v/>
      </c>
    </row>
    <row r="126" spans="2:87" ht="21.75" customHeight="1">
      <c r="B126" s="38">
        <v>23</v>
      </c>
      <c r="C126" s="41"/>
      <c r="D126" s="45"/>
      <c r="E126" s="45"/>
      <c r="F126" s="45"/>
      <c r="G126" s="45"/>
      <c r="H126" s="45"/>
      <c r="I126" s="45"/>
      <c r="J126" s="45"/>
      <c r="K126" s="39"/>
      <c r="L126" s="39"/>
      <c r="M126" s="39"/>
      <c r="N126" s="45"/>
      <c r="O126" s="45"/>
      <c r="R126" s="4">
        <f t="shared" si="48"/>
        <v>23</v>
      </c>
      <c r="S126" s="1" t="str">
        <f t="shared" si="49"/>
        <v/>
      </c>
      <c r="T126" s="4"/>
      <c r="U126" s="4"/>
      <c r="V126" s="4"/>
      <c r="W126" s="4"/>
      <c r="X126" s="4"/>
      <c r="Y126" s="4"/>
      <c r="Z126" s="4"/>
      <c r="AA126" s="2" t="str">
        <f t="shared" si="50"/>
        <v/>
      </c>
      <c r="AB126" s="2" t="str">
        <f t="shared" si="51"/>
        <v/>
      </c>
      <c r="AC126" s="4">
        <f t="shared" si="52"/>
        <v>23</v>
      </c>
      <c r="AD126" s="1" t="str">
        <f t="shared" si="53"/>
        <v/>
      </c>
      <c r="AE126" s="4"/>
      <c r="AF126" s="4"/>
      <c r="AG126" s="4"/>
      <c r="AH126" s="4"/>
      <c r="AI126" s="4"/>
      <c r="AJ126" s="4"/>
      <c r="AK126" s="4"/>
      <c r="AL126" s="2" t="str">
        <f t="shared" si="54"/>
        <v/>
      </c>
      <c r="AM126" s="2" t="str">
        <f t="shared" si="55"/>
        <v/>
      </c>
      <c r="AN126" s="4">
        <f t="shared" si="56"/>
        <v>23</v>
      </c>
      <c r="AO126" s="1" t="str">
        <f t="shared" si="57"/>
        <v/>
      </c>
      <c r="AP126" s="4"/>
      <c r="AQ126" s="4"/>
      <c r="AR126" s="4"/>
      <c r="AS126" s="4"/>
      <c r="AT126" s="4"/>
      <c r="AU126" s="4"/>
      <c r="AV126" s="4"/>
      <c r="AW126" s="2" t="str">
        <f t="shared" si="58"/>
        <v/>
      </c>
      <c r="AX126" s="23" t="str">
        <f t="shared" si="59"/>
        <v/>
      </c>
      <c r="AY126" s="4">
        <f t="shared" si="60"/>
        <v>23</v>
      </c>
      <c r="AZ126" s="1" t="str">
        <f t="shared" si="61"/>
        <v/>
      </c>
      <c r="BA126" s="4"/>
      <c r="BB126" s="4"/>
      <c r="BC126" s="4"/>
      <c r="BD126" s="4"/>
      <c r="BE126" s="4"/>
      <c r="BF126" s="4"/>
      <c r="BG126" s="4"/>
      <c r="BH126" s="2" t="str">
        <f t="shared" si="62"/>
        <v/>
      </c>
      <c r="BI126" s="2" t="str">
        <f t="shared" si="63"/>
        <v/>
      </c>
      <c r="BJ126" s="4">
        <f t="shared" si="64"/>
        <v>23</v>
      </c>
      <c r="BK126" s="1" t="str">
        <f t="shared" si="65"/>
        <v/>
      </c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2" t="str">
        <f t="shared" si="66"/>
        <v/>
      </c>
      <c r="CB126" s="2" t="str">
        <f t="shared" si="67"/>
        <v/>
      </c>
      <c r="CC126" s="4">
        <f t="shared" si="68"/>
        <v>23</v>
      </c>
      <c r="CD126" s="1" t="str">
        <f t="shared" si="69"/>
        <v/>
      </c>
      <c r="CE126" s="4"/>
      <c r="CF126" s="4"/>
      <c r="CG126" s="4"/>
      <c r="CH126" s="2" t="str">
        <f t="shared" si="70"/>
        <v/>
      </c>
      <c r="CI126" s="2" t="str">
        <f t="shared" si="71"/>
        <v/>
      </c>
    </row>
    <row r="127" spans="2:87" ht="21.75" customHeight="1">
      <c r="B127" s="38">
        <v>24</v>
      </c>
      <c r="C127" s="41"/>
      <c r="D127" s="45"/>
      <c r="E127" s="45"/>
      <c r="F127" s="45"/>
      <c r="G127" s="45"/>
      <c r="H127" s="45"/>
      <c r="I127" s="45"/>
      <c r="J127" s="45"/>
      <c r="K127" s="39"/>
      <c r="L127" s="39"/>
      <c r="M127" s="39"/>
      <c r="N127" s="45"/>
      <c r="O127" s="45"/>
      <c r="R127" s="4">
        <f t="shared" si="48"/>
        <v>24</v>
      </c>
      <c r="S127" s="1" t="str">
        <f t="shared" si="49"/>
        <v/>
      </c>
      <c r="T127" s="4"/>
      <c r="U127" s="4"/>
      <c r="V127" s="4"/>
      <c r="W127" s="4"/>
      <c r="X127" s="4"/>
      <c r="Y127" s="4"/>
      <c r="Z127" s="4"/>
      <c r="AA127" s="2" t="str">
        <f t="shared" si="50"/>
        <v/>
      </c>
      <c r="AB127" s="2" t="str">
        <f t="shared" si="51"/>
        <v/>
      </c>
      <c r="AC127" s="4">
        <f t="shared" si="52"/>
        <v>24</v>
      </c>
      <c r="AD127" s="1" t="str">
        <f t="shared" si="53"/>
        <v/>
      </c>
      <c r="AE127" s="4"/>
      <c r="AF127" s="4"/>
      <c r="AG127" s="4"/>
      <c r="AH127" s="4"/>
      <c r="AI127" s="4"/>
      <c r="AJ127" s="4"/>
      <c r="AK127" s="4"/>
      <c r="AL127" s="2" t="str">
        <f t="shared" si="54"/>
        <v/>
      </c>
      <c r="AM127" s="2" t="str">
        <f t="shared" si="55"/>
        <v/>
      </c>
      <c r="AN127" s="4">
        <f t="shared" si="56"/>
        <v>24</v>
      </c>
      <c r="AO127" s="1" t="str">
        <f t="shared" si="57"/>
        <v/>
      </c>
      <c r="AP127" s="4"/>
      <c r="AQ127" s="4"/>
      <c r="AR127" s="4"/>
      <c r="AS127" s="4"/>
      <c r="AT127" s="4"/>
      <c r="AU127" s="4"/>
      <c r="AV127" s="4"/>
      <c r="AW127" s="2" t="str">
        <f t="shared" si="58"/>
        <v/>
      </c>
      <c r="AX127" s="23" t="str">
        <f t="shared" si="59"/>
        <v/>
      </c>
      <c r="AY127" s="4">
        <f t="shared" si="60"/>
        <v>24</v>
      </c>
      <c r="AZ127" s="1" t="str">
        <f t="shared" si="61"/>
        <v/>
      </c>
      <c r="BA127" s="4"/>
      <c r="BB127" s="4"/>
      <c r="BC127" s="4"/>
      <c r="BD127" s="4"/>
      <c r="BE127" s="4"/>
      <c r="BF127" s="4"/>
      <c r="BG127" s="4"/>
      <c r="BH127" s="2" t="str">
        <f t="shared" si="62"/>
        <v/>
      </c>
      <c r="BI127" s="2" t="str">
        <f t="shared" si="63"/>
        <v/>
      </c>
      <c r="BJ127" s="4">
        <f t="shared" si="64"/>
        <v>24</v>
      </c>
      <c r="BK127" s="1" t="str">
        <f t="shared" si="65"/>
        <v/>
      </c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2" t="str">
        <f t="shared" si="66"/>
        <v/>
      </c>
      <c r="CB127" s="2" t="str">
        <f t="shared" si="67"/>
        <v/>
      </c>
      <c r="CC127" s="4">
        <f t="shared" si="68"/>
        <v>24</v>
      </c>
      <c r="CD127" s="1" t="str">
        <f t="shared" si="69"/>
        <v/>
      </c>
      <c r="CE127" s="4"/>
      <c r="CF127" s="4"/>
      <c r="CG127" s="4"/>
      <c r="CH127" s="2" t="str">
        <f t="shared" si="70"/>
        <v/>
      </c>
      <c r="CI127" s="2" t="str">
        <f t="shared" si="71"/>
        <v/>
      </c>
    </row>
    <row r="128" spans="2:87" ht="21.75" customHeight="1">
      <c r="B128" s="38">
        <v>25</v>
      </c>
      <c r="C128" s="41"/>
      <c r="D128" s="45"/>
      <c r="E128" s="45"/>
      <c r="F128" s="45"/>
      <c r="G128" s="45"/>
      <c r="H128" s="45"/>
      <c r="I128" s="45"/>
      <c r="J128" s="45"/>
      <c r="K128" s="39"/>
      <c r="L128" s="39"/>
      <c r="M128" s="39"/>
      <c r="N128" s="45"/>
      <c r="O128" s="45"/>
      <c r="R128" s="4">
        <f t="shared" si="48"/>
        <v>25</v>
      </c>
      <c r="S128" s="1" t="str">
        <f t="shared" si="49"/>
        <v/>
      </c>
      <c r="T128" s="4"/>
      <c r="U128" s="4"/>
      <c r="V128" s="4"/>
      <c r="W128" s="4"/>
      <c r="X128" s="4"/>
      <c r="Y128" s="4"/>
      <c r="Z128" s="4"/>
      <c r="AA128" s="2" t="str">
        <f t="shared" si="50"/>
        <v/>
      </c>
      <c r="AB128" s="2" t="str">
        <f t="shared" si="51"/>
        <v/>
      </c>
      <c r="AC128" s="4">
        <f t="shared" si="52"/>
        <v>25</v>
      </c>
      <c r="AD128" s="1" t="str">
        <f t="shared" si="53"/>
        <v/>
      </c>
      <c r="AE128" s="4"/>
      <c r="AF128" s="4"/>
      <c r="AG128" s="4"/>
      <c r="AH128" s="4"/>
      <c r="AI128" s="4"/>
      <c r="AJ128" s="4"/>
      <c r="AK128" s="4"/>
      <c r="AL128" s="2" t="str">
        <f t="shared" si="54"/>
        <v/>
      </c>
      <c r="AM128" s="2" t="str">
        <f t="shared" si="55"/>
        <v/>
      </c>
      <c r="AN128" s="4">
        <f t="shared" si="56"/>
        <v>25</v>
      </c>
      <c r="AO128" s="1" t="str">
        <f t="shared" si="57"/>
        <v/>
      </c>
      <c r="AP128" s="4"/>
      <c r="AQ128" s="4"/>
      <c r="AR128" s="4"/>
      <c r="AS128" s="4"/>
      <c r="AT128" s="4"/>
      <c r="AU128" s="4"/>
      <c r="AV128" s="4"/>
      <c r="AW128" s="2" t="str">
        <f t="shared" si="58"/>
        <v/>
      </c>
      <c r="AX128" s="23" t="str">
        <f t="shared" si="59"/>
        <v/>
      </c>
      <c r="AY128" s="4">
        <f t="shared" si="60"/>
        <v>25</v>
      </c>
      <c r="AZ128" s="1" t="str">
        <f t="shared" si="61"/>
        <v/>
      </c>
      <c r="BA128" s="4"/>
      <c r="BB128" s="4"/>
      <c r="BC128" s="4"/>
      <c r="BD128" s="4"/>
      <c r="BE128" s="4"/>
      <c r="BF128" s="4"/>
      <c r="BG128" s="4"/>
      <c r="BH128" s="2" t="str">
        <f t="shared" si="62"/>
        <v/>
      </c>
      <c r="BI128" s="2" t="str">
        <f t="shared" si="63"/>
        <v/>
      </c>
      <c r="BJ128" s="4">
        <f t="shared" si="64"/>
        <v>25</v>
      </c>
      <c r="BK128" s="1" t="str">
        <f t="shared" si="65"/>
        <v/>
      </c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2" t="str">
        <f t="shared" si="66"/>
        <v/>
      </c>
      <c r="CB128" s="2" t="str">
        <f t="shared" si="67"/>
        <v/>
      </c>
      <c r="CC128" s="4">
        <f t="shared" si="68"/>
        <v>25</v>
      </c>
      <c r="CD128" s="1" t="str">
        <f t="shared" si="69"/>
        <v/>
      </c>
      <c r="CE128" s="4"/>
      <c r="CF128" s="4"/>
      <c r="CG128" s="4"/>
      <c r="CH128" s="2" t="str">
        <f t="shared" si="70"/>
        <v/>
      </c>
      <c r="CI128" s="2" t="str">
        <f t="shared" si="71"/>
        <v/>
      </c>
    </row>
    <row r="129" spans="2:87" ht="21.75" customHeight="1">
      <c r="B129" s="38">
        <v>26</v>
      </c>
      <c r="C129" s="41"/>
      <c r="D129" s="45"/>
      <c r="E129" s="45"/>
      <c r="F129" s="45"/>
      <c r="G129" s="45"/>
      <c r="H129" s="45"/>
      <c r="I129" s="45"/>
      <c r="J129" s="45"/>
      <c r="K129" s="39"/>
      <c r="L129" s="39"/>
      <c r="M129" s="39"/>
      <c r="N129" s="45"/>
      <c r="O129" s="45"/>
      <c r="R129" s="4">
        <f t="shared" si="48"/>
        <v>26</v>
      </c>
      <c r="S129" s="1" t="str">
        <f t="shared" si="49"/>
        <v/>
      </c>
      <c r="T129" s="4"/>
      <c r="U129" s="4"/>
      <c r="V129" s="4"/>
      <c r="W129" s="4"/>
      <c r="X129" s="4"/>
      <c r="Y129" s="4"/>
      <c r="Z129" s="4"/>
      <c r="AA129" s="2" t="str">
        <f t="shared" si="50"/>
        <v/>
      </c>
      <c r="AB129" s="2" t="str">
        <f t="shared" si="51"/>
        <v/>
      </c>
      <c r="AC129" s="4">
        <f t="shared" si="52"/>
        <v>26</v>
      </c>
      <c r="AD129" s="1" t="str">
        <f t="shared" si="53"/>
        <v/>
      </c>
      <c r="AE129" s="4"/>
      <c r="AF129" s="4"/>
      <c r="AG129" s="4"/>
      <c r="AH129" s="4"/>
      <c r="AI129" s="4"/>
      <c r="AJ129" s="4"/>
      <c r="AK129" s="4"/>
      <c r="AL129" s="2" t="str">
        <f t="shared" si="54"/>
        <v/>
      </c>
      <c r="AM129" s="2" t="str">
        <f t="shared" si="55"/>
        <v/>
      </c>
      <c r="AN129" s="4">
        <f t="shared" si="56"/>
        <v>26</v>
      </c>
      <c r="AO129" s="1" t="str">
        <f t="shared" si="57"/>
        <v/>
      </c>
      <c r="AP129" s="4"/>
      <c r="AQ129" s="4"/>
      <c r="AR129" s="4"/>
      <c r="AS129" s="4"/>
      <c r="AT129" s="4"/>
      <c r="AU129" s="4"/>
      <c r="AV129" s="4"/>
      <c r="AW129" s="2" t="str">
        <f t="shared" si="58"/>
        <v/>
      </c>
      <c r="AX129" s="23" t="str">
        <f t="shared" si="59"/>
        <v/>
      </c>
      <c r="AY129" s="4">
        <f t="shared" si="60"/>
        <v>26</v>
      </c>
      <c r="AZ129" s="1" t="str">
        <f t="shared" si="61"/>
        <v/>
      </c>
      <c r="BA129" s="4"/>
      <c r="BB129" s="4"/>
      <c r="BC129" s="4"/>
      <c r="BD129" s="4"/>
      <c r="BE129" s="4"/>
      <c r="BF129" s="4"/>
      <c r="BG129" s="4"/>
      <c r="BH129" s="2" t="str">
        <f t="shared" si="62"/>
        <v/>
      </c>
      <c r="BI129" s="2" t="str">
        <f t="shared" si="63"/>
        <v/>
      </c>
      <c r="BJ129" s="4">
        <f t="shared" si="64"/>
        <v>26</v>
      </c>
      <c r="BK129" s="1" t="str">
        <f t="shared" si="65"/>
        <v/>
      </c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2" t="str">
        <f t="shared" si="66"/>
        <v/>
      </c>
      <c r="CB129" s="2" t="str">
        <f t="shared" si="67"/>
        <v/>
      </c>
      <c r="CC129" s="4">
        <f t="shared" si="68"/>
        <v>26</v>
      </c>
      <c r="CD129" s="1" t="str">
        <f t="shared" si="69"/>
        <v/>
      </c>
      <c r="CE129" s="4"/>
      <c r="CF129" s="4"/>
      <c r="CG129" s="4"/>
      <c r="CH129" s="2" t="str">
        <f t="shared" si="70"/>
        <v/>
      </c>
      <c r="CI129" s="2" t="str">
        <f t="shared" si="71"/>
        <v/>
      </c>
    </row>
    <row r="130" spans="2:87" ht="21.75" customHeight="1">
      <c r="B130" s="38">
        <v>27</v>
      </c>
      <c r="C130" s="41"/>
      <c r="D130" s="45"/>
      <c r="E130" s="45"/>
      <c r="F130" s="45"/>
      <c r="G130" s="45"/>
      <c r="H130" s="45"/>
      <c r="I130" s="45"/>
      <c r="J130" s="45"/>
      <c r="K130" s="39"/>
      <c r="L130" s="39"/>
      <c r="M130" s="39"/>
      <c r="N130" s="45"/>
      <c r="O130" s="45"/>
      <c r="R130" s="4">
        <f t="shared" si="48"/>
        <v>27</v>
      </c>
      <c r="S130" s="1" t="str">
        <f t="shared" si="49"/>
        <v/>
      </c>
      <c r="T130" s="4"/>
      <c r="U130" s="4"/>
      <c r="V130" s="4"/>
      <c r="W130" s="4"/>
      <c r="X130" s="4"/>
      <c r="Y130" s="4"/>
      <c r="Z130" s="4"/>
      <c r="AA130" s="2" t="str">
        <f t="shared" si="50"/>
        <v/>
      </c>
      <c r="AB130" s="2" t="str">
        <f t="shared" si="51"/>
        <v/>
      </c>
      <c r="AC130" s="4">
        <f t="shared" si="52"/>
        <v>27</v>
      </c>
      <c r="AD130" s="1" t="str">
        <f t="shared" si="53"/>
        <v/>
      </c>
      <c r="AE130" s="4"/>
      <c r="AF130" s="4"/>
      <c r="AG130" s="4"/>
      <c r="AH130" s="4"/>
      <c r="AI130" s="4"/>
      <c r="AJ130" s="4"/>
      <c r="AK130" s="4"/>
      <c r="AL130" s="2" t="str">
        <f t="shared" si="54"/>
        <v/>
      </c>
      <c r="AM130" s="2" t="str">
        <f t="shared" si="55"/>
        <v/>
      </c>
      <c r="AN130" s="4">
        <f t="shared" si="56"/>
        <v>27</v>
      </c>
      <c r="AO130" s="1" t="str">
        <f t="shared" si="57"/>
        <v/>
      </c>
      <c r="AP130" s="4"/>
      <c r="AQ130" s="4"/>
      <c r="AR130" s="4"/>
      <c r="AS130" s="4"/>
      <c r="AT130" s="4"/>
      <c r="AU130" s="4"/>
      <c r="AV130" s="4"/>
      <c r="AW130" s="2" t="str">
        <f t="shared" si="58"/>
        <v/>
      </c>
      <c r="AX130" s="23" t="str">
        <f t="shared" si="59"/>
        <v/>
      </c>
      <c r="AY130" s="4">
        <f t="shared" si="60"/>
        <v>27</v>
      </c>
      <c r="AZ130" s="1" t="str">
        <f t="shared" si="61"/>
        <v/>
      </c>
      <c r="BA130" s="4"/>
      <c r="BB130" s="4"/>
      <c r="BC130" s="4"/>
      <c r="BD130" s="4"/>
      <c r="BE130" s="4"/>
      <c r="BF130" s="4"/>
      <c r="BG130" s="4"/>
      <c r="BH130" s="2" t="str">
        <f t="shared" si="62"/>
        <v/>
      </c>
      <c r="BI130" s="2" t="str">
        <f t="shared" si="63"/>
        <v/>
      </c>
      <c r="BJ130" s="4">
        <f t="shared" si="64"/>
        <v>27</v>
      </c>
      <c r="BK130" s="1" t="str">
        <f t="shared" si="65"/>
        <v/>
      </c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2" t="str">
        <f t="shared" si="66"/>
        <v/>
      </c>
      <c r="CB130" s="2" t="str">
        <f t="shared" si="67"/>
        <v/>
      </c>
      <c r="CC130" s="4">
        <f t="shared" si="68"/>
        <v>27</v>
      </c>
      <c r="CD130" s="1" t="str">
        <f t="shared" si="69"/>
        <v/>
      </c>
      <c r="CE130" s="4"/>
      <c r="CF130" s="4"/>
      <c r="CG130" s="4"/>
      <c r="CH130" s="2" t="str">
        <f t="shared" si="70"/>
        <v/>
      </c>
      <c r="CI130" s="2" t="str">
        <f t="shared" si="71"/>
        <v/>
      </c>
    </row>
    <row r="131" spans="2:87" ht="21.75" customHeight="1">
      <c r="B131" s="38">
        <v>28</v>
      </c>
      <c r="C131" s="41"/>
      <c r="D131" s="45"/>
      <c r="E131" s="45"/>
      <c r="F131" s="45"/>
      <c r="G131" s="45"/>
      <c r="H131" s="45"/>
      <c r="I131" s="45"/>
      <c r="J131" s="45"/>
      <c r="K131" s="39"/>
      <c r="L131" s="39"/>
      <c r="M131" s="39"/>
      <c r="N131" s="45"/>
      <c r="O131" s="45"/>
      <c r="R131" s="4">
        <f t="shared" si="48"/>
        <v>28</v>
      </c>
      <c r="S131" s="1" t="str">
        <f t="shared" si="49"/>
        <v/>
      </c>
      <c r="T131" s="4"/>
      <c r="U131" s="4"/>
      <c r="V131" s="4"/>
      <c r="W131" s="4"/>
      <c r="X131" s="4"/>
      <c r="Y131" s="4"/>
      <c r="Z131" s="4"/>
      <c r="AA131" s="2" t="str">
        <f t="shared" si="50"/>
        <v/>
      </c>
      <c r="AB131" s="2" t="str">
        <f t="shared" si="51"/>
        <v/>
      </c>
      <c r="AC131" s="4">
        <f t="shared" si="52"/>
        <v>28</v>
      </c>
      <c r="AD131" s="1" t="str">
        <f t="shared" si="53"/>
        <v/>
      </c>
      <c r="AE131" s="4"/>
      <c r="AF131" s="4"/>
      <c r="AG131" s="4"/>
      <c r="AH131" s="4"/>
      <c r="AI131" s="4"/>
      <c r="AJ131" s="4"/>
      <c r="AK131" s="4"/>
      <c r="AL131" s="2" t="str">
        <f t="shared" si="54"/>
        <v/>
      </c>
      <c r="AM131" s="2" t="str">
        <f t="shared" si="55"/>
        <v/>
      </c>
      <c r="AN131" s="4">
        <f t="shared" si="56"/>
        <v>28</v>
      </c>
      <c r="AO131" s="1" t="str">
        <f t="shared" si="57"/>
        <v/>
      </c>
      <c r="AP131" s="4"/>
      <c r="AQ131" s="4"/>
      <c r="AR131" s="4"/>
      <c r="AS131" s="4"/>
      <c r="AT131" s="4"/>
      <c r="AU131" s="4"/>
      <c r="AV131" s="4"/>
      <c r="AW131" s="2" t="str">
        <f t="shared" si="58"/>
        <v/>
      </c>
      <c r="AX131" s="23" t="str">
        <f t="shared" si="59"/>
        <v/>
      </c>
      <c r="AY131" s="4">
        <f t="shared" si="60"/>
        <v>28</v>
      </c>
      <c r="AZ131" s="1" t="str">
        <f t="shared" si="61"/>
        <v/>
      </c>
      <c r="BA131" s="4"/>
      <c r="BB131" s="4"/>
      <c r="BC131" s="4"/>
      <c r="BD131" s="4"/>
      <c r="BE131" s="4"/>
      <c r="BF131" s="4"/>
      <c r="BG131" s="4"/>
      <c r="BH131" s="2" t="str">
        <f t="shared" si="62"/>
        <v/>
      </c>
      <c r="BI131" s="2" t="str">
        <f t="shared" si="63"/>
        <v/>
      </c>
      <c r="BJ131" s="4">
        <f t="shared" si="64"/>
        <v>28</v>
      </c>
      <c r="BK131" s="1" t="str">
        <f t="shared" si="65"/>
        <v/>
      </c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2" t="str">
        <f t="shared" si="66"/>
        <v/>
      </c>
      <c r="CB131" s="2" t="str">
        <f t="shared" si="67"/>
        <v/>
      </c>
      <c r="CC131" s="4">
        <f t="shared" si="68"/>
        <v>28</v>
      </c>
      <c r="CD131" s="1" t="str">
        <f t="shared" si="69"/>
        <v/>
      </c>
      <c r="CE131" s="4"/>
      <c r="CF131" s="4"/>
      <c r="CG131" s="4"/>
      <c r="CH131" s="2" t="str">
        <f t="shared" si="70"/>
        <v/>
      </c>
      <c r="CI131" s="2" t="str">
        <f t="shared" si="71"/>
        <v/>
      </c>
    </row>
    <row r="132" spans="2:87" ht="21.75" customHeight="1">
      <c r="B132" s="38">
        <v>29</v>
      </c>
      <c r="C132" s="41"/>
      <c r="D132" s="45"/>
      <c r="E132" s="45"/>
      <c r="F132" s="45"/>
      <c r="G132" s="45"/>
      <c r="H132" s="45"/>
      <c r="I132" s="45"/>
      <c r="J132" s="45"/>
      <c r="K132" s="39"/>
      <c r="L132" s="39"/>
      <c r="M132" s="39"/>
      <c r="N132" s="45"/>
      <c r="O132" s="45"/>
      <c r="R132" s="4">
        <f t="shared" si="48"/>
        <v>29</v>
      </c>
      <c r="S132" s="1" t="str">
        <f t="shared" si="49"/>
        <v/>
      </c>
      <c r="T132" s="4"/>
      <c r="U132" s="4"/>
      <c r="V132" s="4"/>
      <c r="W132" s="4"/>
      <c r="X132" s="4"/>
      <c r="Y132" s="4"/>
      <c r="Z132" s="4"/>
      <c r="AA132" s="2" t="str">
        <f t="shared" si="50"/>
        <v/>
      </c>
      <c r="AB132" s="2" t="str">
        <f t="shared" si="51"/>
        <v/>
      </c>
      <c r="AC132" s="4">
        <f t="shared" si="52"/>
        <v>29</v>
      </c>
      <c r="AD132" s="1" t="str">
        <f t="shared" si="53"/>
        <v/>
      </c>
      <c r="AE132" s="4"/>
      <c r="AF132" s="4"/>
      <c r="AG132" s="4"/>
      <c r="AH132" s="4"/>
      <c r="AI132" s="4"/>
      <c r="AJ132" s="4"/>
      <c r="AK132" s="4"/>
      <c r="AL132" s="2" t="str">
        <f t="shared" si="54"/>
        <v/>
      </c>
      <c r="AM132" s="2" t="str">
        <f t="shared" si="55"/>
        <v/>
      </c>
      <c r="AN132" s="4">
        <f t="shared" si="56"/>
        <v>29</v>
      </c>
      <c r="AO132" s="1" t="str">
        <f t="shared" si="57"/>
        <v/>
      </c>
      <c r="AP132" s="4"/>
      <c r="AQ132" s="4"/>
      <c r="AR132" s="4"/>
      <c r="AS132" s="4"/>
      <c r="AT132" s="4"/>
      <c r="AU132" s="4"/>
      <c r="AV132" s="4"/>
      <c r="AW132" s="2" t="str">
        <f t="shared" si="58"/>
        <v/>
      </c>
      <c r="AX132" s="23" t="str">
        <f t="shared" si="59"/>
        <v/>
      </c>
      <c r="AY132" s="4">
        <f t="shared" si="60"/>
        <v>29</v>
      </c>
      <c r="AZ132" s="1" t="str">
        <f t="shared" si="61"/>
        <v/>
      </c>
      <c r="BA132" s="4"/>
      <c r="BB132" s="4"/>
      <c r="BC132" s="4"/>
      <c r="BD132" s="4"/>
      <c r="BE132" s="4"/>
      <c r="BF132" s="4"/>
      <c r="BG132" s="4"/>
      <c r="BH132" s="2" t="str">
        <f t="shared" si="62"/>
        <v/>
      </c>
      <c r="BI132" s="2" t="str">
        <f t="shared" si="63"/>
        <v/>
      </c>
      <c r="BJ132" s="4">
        <f t="shared" si="64"/>
        <v>29</v>
      </c>
      <c r="BK132" s="1" t="str">
        <f t="shared" si="65"/>
        <v/>
      </c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2" t="str">
        <f t="shared" si="66"/>
        <v/>
      </c>
      <c r="CB132" s="2" t="str">
        <f t="shared" si="67"/>
        <v/>
      </c>
      <c r="CC132" s="4">
        <f t="shared" si="68"/>
        <v>29</v>
      </c>
      <c r="CD132" s="1" t="str">
        <f t="shared" si="69"/>
        <v/>
      </c>
      <c r="CE132" s="4"/>
      <c r="CF132" s="4"/>
      <c r="CG132" s="4"/>
      <c r="CH132" s="2" t="str">
        <f t="shared" si="70"/>
        <v/>
      </c>
      <c r="CI132" s="2" t="str">
        <f t="shared" si="71"/>
        <v/>
      </c>
    </row>
    <row r="133" spans="2:87" ht="21.75" customHeight="1">
      <c r="B133" s="38">
        <v>30</v>
      </c>
      <c r="C133" s="41"/>
      <c r="D133" s="45"/>
      <c r="E133" s="45"/>
      <c r="F133" s="45"/>
      <c r="G133" s="45"/>
      <c r="H133" s="45"/>
      <c r="I133" s="45"/>
      <c r="J133" s="45"/>
      <c r="K133" s="39"/>
      <c r="L133" s="39"/>
      <c r="M133" s="39"/>
      <c r="N133" s="45"/>
      <c r="O133" s="45"/>
      <c r="R133" s="4">
        <f t="shared" si="48"/>
        <v>30</v>
      </c>
      <c r="S133" s="1" t="str">
        <f t="shared" si="49"/>
        <v/>
      </c>
      <c r="T133" s="4"/>
      <c r="U133" s="4"/>
      <c r="V133" s="4"/>
      <c r="W133" s="4"/>
      <c r="X133" s="4"/>
      <c r="Y133" s="4"/>
      <c r="Z133" s="4"/>
      <c r="AA133" s="2" t="str">
        <f t="shared" si="50"/>
        <v/>
      </c>
      <c r="AB133" s="2" t="str">
        <f t="shared" si="51"/>
        <v/>
      </c>
      <c r="AC133" s="4">
        <f t="shared" si="52"/>
        <v>30</v>
      </c>
      <c r="AD133" s="1" t="str">
        <f t="shared" si="53"/>
        <v/>
      </c>
      <c r="AE133" s="4"/>
      <c r="AF133" s="4"/>
      <c r="AG133" s="4"/>
      <c r="AH133" s="4"/>
      <c r="AI133" s="4"/>
      <c r="AJ133" s="4"/>
      <c r="AK133" s="4"/>
      <c r="AL133" s="2" t="str">
        <f t="shared" si="54"/>
        <v/>
      </c>
      <c r="AM133" s="2" t="str">
        <f t="shared" si="55"/>
        <v/>
      </c>
      <c r="AN133" s="4">
        <f t="shared" si="56"/>
        <v>30</v>
      </c>
      <c r="AO133" s="1" t="str">
        <f t="shared" si="57"/>
        <v/>
      </c>
      <c r="AP133" s="4"/>
      <c r="AQ133" s="4"/>
      <c r="AR133" s="4"/>
      <c r="AS133" s="4"/>
      <c r="AT133" s="4"/>
      <c r="AU133" s="4"/>
      <c r="AV133" s="4"/>
      <c r="AW133" s="2" t="str">
        <f t="shared" si="58"/>
        <v/>
      </c>
      <c r="AX133" s="23" t="str">
        <f t="shared" si="59"/>
        <v/>
      </c>
      <c r="AY133" s="4">
        <f t="shared" si="60"/>
        <v>30</v>
      </c>
      <c r="AZ133" s="1" t="str">
        <f t="shared" si="61"/>
        <v/>
      </c>
      <c r="BA133" s="4"/>
      <c r="BB133" s="4"/>
      <c r="BC133" s="4"/>
      <c r="BD133" s="4"/>
      <c r="BE133" s="4"/>
      <c r="BF133" s="4"/>
      <c r="BG133" s="4"/>
      <c r="BH133" s="2" t="str">
        <f t="shared" si="62"/>
        <v/>
      </c>
      <c r="BI133" s="2" t="str">
        <f t="shared" si="63"/>
        <v/>
      </c>
      <c r="BJ133" s="4">
        <f t="shared" si="64"/>
        <v>30</v>
      </c>
      <c r="BK133" s="1" t="str">
        <f t="shared" si="65"/>
        <v/>
      </c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2" t="str">
        <f t="shared" si="66"/>
        <v/>
      </c>
      <c r="CB133" s="2" t="str">
        <f t="shared" si="67"/>
        <v/>
      </c>
      <c r="CC133" s="4">
        <f t="shared" si="68"/>
        <v>30</v>
      </c>
      <c r="CD133" s="1" t="str">
        <f t="shared" si="69"/>
        <v/>
      </c>
      <c r="CE133" s="4"/>
      <c r="CF133" s="4"/>
      <c r="CG133" s="4"/>
      <c r="CH133" s="2" t="str">
        <f t="shared" si="70"/>
        <v/>
      </c>
      <c r="CI133" s="2" t="str">
        <f t="shared" si="71"/>
        <v/>
      </c>
    </row>
    <row r="134" spans="2:87" ht="21.75" customHeight="1">
      <c r="B134" s="38">
        <v>31</v>
      </c>
      <c r="C134" s="41"/>
      <c r="D134" s="45"/>
      <c r="E134" s="45"/>
      <c r="F134" s="45"/>
      <c r="G134" s="45"/>
      <c r="H134" s="45"/>
      <c r="I134" s="45"/>
      <c r="J134" s="45"/>
      <c r="K134" s="39"/>
      <c r="L134" s="39"/>
      <c r="M134" s="39"/>
      <c r="N134" s="45"/>
      <c r="O134" s="45"/>
      <c r="R134" s="4">
        <f t="shared" si="48"/>
        <v>31</v>
      </c>
      <c r="S134" s="1" t="str">
        <f t="shared" si="49"/>
        <v/>
      </c>
      <c r="T134" s="4"/>
      <c r="U134" s="4"/>
      <c r="V134" s="4"/>
      <c r="W134" s="4"/>
      <c r="X134" s="4"/>
      <c r="Y134" s="4"/>
      <c r="Z134" s="4"/>
      <c r="AA134" s="2" t="str">
        <f t="shared" si="50"/>
        <v/>
      </c>
      <c r="AB134" s="2" t="str">
        <f t="shared" si="51"/>
        <v/>
      </c>
      <c r="AC134" s="4">
        <f t="shared" si="52"/>
        <v>31</v>
      </c>
      <c r="AD134" s="1" t="str">
        <f t="shared" si="53"/>
        <v/>
      </c>
      <c r="AE134" s="4"/>
      <c r="AF134" s="4"/>
      <c r="AG134" s="4"/>
      <c r="AH134" s="4"/>
      <c r="AI134" s="4"/>
      <c r="AJ134" s="4"/>
      <c r="AK134" s="4"/>
      <c r="AL134" s="2" t="str">
        <f t="shared" si="54"/>
        <v/>
      </c>
      <c r="AM134" s="2" t="str">
        <f t="shared" si="55"/>
        <v/>
      </c>
      <c r="AN134" s="4">
        <f t="shared" si="56"/>
        <v>31</v>
      </c>
      <c r="AO134" s="1" t="str">
        <f t="shared" si="57"/>
        <v/>
      </c>
      <c r="AP134" s="4"/>
      <c r="AQ134" s="4"/>
      <c r="AR134" s="4"/>
      <c r="AS134" s="4"/>
      <c r="AT134" s="4"/>
      <c r="AU134" s="4"/>
      <c r="AV134" s="4"/>
      <c r="AW134" s="2" t="str">
        <f t="shared" si="58"/>
        <v/>
      </c>
      <c r="AX134" s="23" t="str">
        <f t="shared" si="59"/>
        <v/>
      </c>
      <c r="AY134" s="4">
        <f t="shared" si="60"/>
        <v>31</v>
      </c>
      <c r="AZ134" s="1" t="str">
        <f t="shared" si="61"/>
        <v/>
      </c>
      <c r="BA134" s="4"/>
      <c r="BB134" s="4"/>
      <c r="BC134" s="4"/>
      <c r="BD134" s="4"/>
      <c r="BE134" s="4"/>
      <c r="BF134" s="4"/>
      <c r="BG134" s="4"/>
      <c r="BH134" s="2" t="str">
        <f t="shared" si="62"/>
        <v/>
      </c>
      <c r="BI134" s="2" t="str">
        <f t="shared" si="63"/>
        <v/>
      </c>
      <c r="BJ134" s="4">
        <f t="shared" si="64"/>
        <v>31</v>
      </c>
      <c r="BK134" s="1" t="str">
        <f t="shared" si="65"/>
        <v/>
      </c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2" t="str">
        <f t="shared" si="66"/>
        <v/>
      </c>
      <c r="CB134" s="2" t="str">
        <f t="shared" si="67"/>
        <v/>
      </c>
      <c r="CC134" s="4">
        <f t="shared" si="68"/>
        <v>31</v>
      </c>
      <c r="CD134" s="1" t="str">
        <f t="shared" si="69"/>
        <v/>
      </c>
      <c r="CE134" s="4"/>
      <c r="CF134" s="4"/>
      <c r="CG134" s="4"/>
      <c r="CH134" s="2" t="str">
        <f t="shared" si="70"/>
        <v/>
      </c>
      <c r="CI134" s="2" t="str">
        <f t="shared" si="71"/>
        <v/>
      </c>
    </row>
    <row r="135" spans="2:87" ht="21.75" customHeight="1">
      <c r="B135" s="38">
        <v>32</v>
      </c>
      <c r="C135" s="41"/>
      <c r="D135" s="45"/>
      <c r="E135" s="45"/>
      <c r="F135" s="45"/>
      <c r="G135" s="45"/>
      <c r="H135" s="45"/>
      <c r="I135" s="45"/>
      <c r="J135" s="45"/>
      <c r="K135" s="39"/>
      <c r="L135" s="39"/>
      <c r="M135" s="39"/>
      <c r="N135" s="45"/>
      <c r="O135" s="45"/>
      <c r="R135" s="4">
        <f t="shared" si="48"/>
        <v>32</v>
      </c>
      <c r="S135" s="1" t="str">
        <f t="shared" si="49"/>
        <v/>
      </c>
      <c r="T135" s="4"/>
      <c r="U135" s="4"/>
      <c r="V135" s="4"/>
      <c r="W135" s="4"/>
      <c r="X135" s="4"/>
      <c r="Y135" s="4"/>
      <c r="Z135" s="4"/>
      <c r="AA135" s="2" t="str">
        <f t="shared" si="50"/>
        <v/>
      </c>
      <c r="AB135" s="2" t="str">
        <f t="shared" si="51"/>
        <v/>
      </c>
      <c r="AC135" s="4">
        <f t="shared" si="52"/>
        <v>32</v>
      </c>
      <c r="AD135" s="1" t="str">
        <f t="shared" si="53"/>
        <v/>
      </c>
      <c r="AE135" s="4"/>
      <c r="AF135" s="4"/>
      <c r="AG135" s="4"/>
      <c r="AH135" s="4"/>
      <c r="AI135" s="4"/>
      <c r="AJ135" s="4"/>
      <c r="AK135" s="4"/>
      <c r="AL135" s="2" t="str">
        <f t="shared" si="54"/>
        <v/>
      </c>
      <c r="AM135" s="2" t="str">
        <f t="shared" si="55"/>
        <v/>
      </c>
      <c r="AN135" s="4">
        <f t="shared" si="56"/>
        <v>32</v>
      </c>
      <c r="AO135" s="1" t="str">
        <f t="shared" si="57"/>
        <v/>
      </c>
      <c r="AP135" s="4"/>
      <c r="AQ135" s="4"/>
      <c r="AR135" s="4"/>
      <c r="AS135" s="4"/>
      <c r="AT135" s="4"/>
      <c r="AU135" s="4"/>
      <c r="AV135" s="4"/>
      <c r="AW135" s="2" t="str">
        <f t="shared" si="58"/>
        <v/>
      </c>
      <c r="AX135" s="23" t="str">
        <f t="shared" si="59"/>
        <v/>
      </c>
      <c r="AY135" s="4">
        <f t="shared" si="60"/>
        <v>32</v>
      </c>
      <c r="AZ135" s="1" t="str">
        <f t="shared" si="61"/>
        <v/>
      </c>
      <c r="BA135" s="4"/>
      <c r="BB135" s="4"/>
      <c r="BC135" s="4"/>
      <c r="BD135" s="4"/>
      <c r="BE135" s="4"/>
      <c r="BF135" s="4"/>
      <c r="BG135" s="4"/>
      <c r="BH135" s="2" t="str">
        <f t="shared" si="62"/>
        <v/>
      </c>
      <c r="BI135" s="2" t="str">
        <f t="shared" si="63"/>
        <v/>
      </c>
      <c r="BJ135" s="4">
        <f t="shared" si="64"/>
        <v>32</v>
      </c>
      <c r="BK135" s="1" t="str">
        <f t="shared" si="65"/>
        <v/>
      </c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2" t="str">
        <f t="shared" si="66"/>
        <v/>
      </c>
      <c r="CB135" s="2" t="str">
        <f t="shared" si="67"/>
        <v/>
      </c>
      <c r="CC135" s="4">
        <f t="shared" si="68"/>
        <v>32</v>
      </c>
      <c r="CD135" s="1" t="str">
        <f t="shared" si="69"/>
        <v/>
      </c>
      <c r="CE135" s="4"/>
      <c r="CF135" s="4"/>
      <c r="CG135" s="4"/>
      <c r="CH135" s="2" t="str">
        <f t="shared" si="70"/>
        <v/>
      </c>
      <c r="CI135" s="2" t="str">
        <f t="shared" si="71"/>
        <v/>
      </c>
    </row>
    <row r="136" spans="2:87" ht="21.75" customHeight="1">
      <c r="B136" s="38">
        <v>33</v>
      </c>
      <c r="C136" s="41"/>
      <c r="D136" s="45"/>
      <c r="E136" s="45"/>
      <c r="F136" s="45"/>
      <c r="G136" s="45"/>
      <c r="H136" s="45"/>
      <c r="I136" s="45"/>
      <c r="J136" s="45"/>
      <c r="K136" s="39"/>
      <c r="L136" s="39"/>
      <c r="M136" s="39"/>
      <c r="N136" s="45"/>
      <c r="O136" s="45"/>
      <c r="R136" s="4">
        <f t="shared" si="48"/>
        <v>33</v>
      </c>
      <c r="S136" s="1" t="str">
        <f t="shared" si="49"/>
        <v/>
      </c>
      <c r="T136" s="4"/>
      <c r="U136" s="4"/>
      <c r="V136" s="4"/>
      <c r="W136" s="4"/>
      <c r="X136" s="4"/>
      <c r="Y136" s="4"/>
      <c r="Z136" s="4"/>
      <c r="AA136" s="2" t="str">
        <f t="shared" si="50"/>
        <v/>
      </c>
      <c r="AB136" s="2" t="str">
        <f t="shared" si="51"/>
        <v/>
      </c>
      <c r="AC136" s="4">
        <f t="shared" si="52"/>
        <v>33</v>
      </c>
      <c r="AD136" s="1" t="str">
        <f t="shared" si="53"/>
        <v/>
      </c>
      <c r="AE136" s="4"/>
      <c r="AF136" s="4"/>
      <c r="AG136" s="4"/>
      <c r="AH136" s="4"/>
      <c r="AI136" s="4"/>
      <c r="AJ136" s="4"/>
      <c r="AK136" s="4"/>
      <c r="AL136" s="2" t="str">
        <f t="shared" si="54"/>
        <v/>
      </c>
      <c r="AM136" s="2" t="str">
        <f t="shared" si="55"/>
        <v/>
      </c>
      <c r="AN136" s="4">
        <f t="shared" si="56"/>
        <v>33</v>
      </c>
      <c r="AO136" s="1" t="str">
        <f t="shared" si="57"/>
        <v/>
      </c>
      <c r="AP136" s="4"/>
      <c r="AQ136" s="4"/>
      <c r="AR136" s="4"/>
      <c r="AS136" s="4"/>
      <c r="AT136" s="4"/>
      <c r="AU136" s="4"/>
      <c r="AV136" s="4"/>
      <c r="AW136" s="2" t="str">
        <f t="shared" si="58"/>
        <v/>
      </c>
      <c r="AX136" s="23" t="str">
        <f t="shared" si="59"/>
        <v/>
      </c>
      <c r="AY136" s="4">
        <f t="shared" si="60"/>
        <v>33</v>
      </c>
      <c r="AZ136" s="1" t="str">
        <f t="shared" si="61"/>
        <v/>
      </c>
      <c r="BA136" s="4"/>
      <c r="BB136" s="4"/>
      <c r="BC136" s="4"/>
      <c r="BD136" s="4"/>
      <c r="BE136" s="4"/>
      <c r="BF136" s="4"/>
      <c r="BG136" s="4"/>
      <c r="BH136" s="2" t="str">
        <f t="shared" si="62"/>
        <v/>
      </c>
      <c r="BI136" s="2" t="str">
        <f t="shared" si="63"/>
        <v/>
      </c>
      <c r="BJ136" s="4">
        <f t="shared" si="64"/>
        <v>33</v>
      </c>
      <c r="BK136" s="1" t="str">
        <f t="shared" si="65"/>
        <v/>
      </c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2" t="str">
        <f t="shared" si="66"/>
        <v/>
      </c>
      <c r="CB136" s="2" t="str">
        <f t="shared" si="67"/>
        <v/>
      </c>
      <c r="CC136" s="4">
        <f t="shared" si="68"/>
        <v>33</v>
      </c>
      <c r="CD136" s="1" t="str">
        <f t="shared" si="69"/>
        <v/>
      </c>
      <c r="CE136" s="4"/>
      <c r="CF136" s="4"/>
      <c r="CG136" s="4"/>
      <c r="CH136" s="2" t="str">
        <f t="shared" si="70"/>
        <v/>
      </c>
      <c r="CI136" s="2" t="str">
        <f t="shared" si="71"/>
        <v/>
      </c>
    </row>
    <row r="137" spans="2:87" ht="21.75" customHeight="1">
      <c r="B137" s="38">
        <v>34</v>
      </c>
      <c r="C137" s="41"/>
      <c r="D137" s="45"/>
      <c r="E137" s="45"/>
      <c r="F137" s="45"/>
      <c r="G137" s="45"/>
      <c r="H137" s="45"/>
      <c r="I137" s="45"/>
      <c r="J137" s="45"/>
      <c r="K137" s="39"/>
      <c r="L137" s="39"/>
      <c r="M137" s="39"/>
      <c r="N137" s="45"/>
      <c r="O137" s="45"/>
      <c r="R137" s="4">
        <f t="shared" si="48"/>
        <v>34</v>
      </c>
      <c r="S137" s="1" t="str">
        <f t="shared" si="49"/>
        <v/>
      </c>
      <c r="T137" s="4"/>
      <c r="U137" s="4"/>
      <c r="V137" s="4"/>
      <c r="W137" s="4"/>
      <c r="X137" s="4"/>
      <c r="Y137" s="4"/>
      <c r="Z137" s="4"/>
      <c r="AA137" s="2" t="str">
        <f t="shared" si="50"/>
        <v/>
      </c>
      <c r="AB137" s="2" t="str">
        <f t="shared" si="51"/>
        <v/>
      </c>
      <c r="AC137" s="4">
        <f t="shared" si="52"/>
        <v>34</v>
      </c>
      <c r="AD137" s="1" t="str">
        <f t="shared" si="53"/>
        <v/>
      </c>
      <c r="AE137" s="4"/>
      <c r="AF137" s="4"/>
      <c r="AG137" s="4"/>
      <c r="AH137" s="4"/>
      <c r="AI137" s="4"/>
      <c r="AJ137" s="4"/>
      <c r="AK137" s="4"/>
      <c r="AL137" s="2" t="str">
        <f t="shared" si="54"/>
        <v/>
      </c>
      <c r="AM137" s="2" t="str">
        <f t="shared" si="55"/>
        <v/>
      </c>
      <c r="AN137" s="4">
        <f t="shared" si="56"/>
        <v>34</v>
      </c>
      <c r="AO137" s="1" t="str">
        <f t="shared" si="57"/>
        <v/>
      </c>
      <c r="AP137" s="4"/>
      <c r="AQ137" s="4"/>
      <c r="AR137" s="4"/>
      <c r="AS137" s="4"/>
      <c r="AT137" s="4"/>
      <c r="AU137" s="4"/>
      <c r="AV137" s="4"/>
      <c r="AW137" s="2" t="str">
        <f t="shared" si="58"/>
        <v/>
      </c>
      <c r="AX137" s="23" t="str">
        <f t="shared" si="59"/>
        <v/>
      </c>
      <c r="AY137" s="4">
        <f t="shared" si="60"/>
        <v>34</v>
      </c>
      <c r="AZ137" s="1" t="str">
        <f t="shared" si="61"/>
        <v/>
      </c>
      <c r="BA137" s="4"/>
      <c r="BB137" s="4"/>
      <c r="BC137" s="4"/>
      <c r="BD137" s="4"/>
      <c r="BE137" s="4"/>
      <c r="BF137" s="4"/>
      <c r="BG137" s="4"/>
      <c r="BH137" s="2" t="str">
        <f t="shared" si="62"/>
        <v/>
      </c>
      <c r="BI137" s="2" t="str">
        <f t="shared" si="63"/>
        <v/>
      </c>
      <c r="BJ137" s="4">
        <f t="shared" si="64"/>
        <v>34</v>
      </c>
      <c r="BK137" s="1" t="str">
        <f t="shared" si="65"/>
        <v/>
      </c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2" t="str">
        <f t="shared" si="66"/>
        <v/>
      </c>
      <c r="CB137" s="2" t="str">
        <f t="shared" si="67"/>
        <v/>
      </c>
      <c r="CC137" s="4">
        <f t="shared" si="68"/>
        <v>34</v>
      </c>
      <c r="CD137" s="1" t="str">
        <f t="shared" si="69"/>
        <v/>
      </c>
      <c r="CE137" s="4"/>
      <c r="CF137" s="4"/>
      <c r="CG137" s="4"/>
      <c r="CH137" s="2" t="str">
        <f t="shared" si="70"/>
        <v/>
      </c>
      <c r="CI137" s="2" t="str">
        <f t="shared" si="71"/>
        <v/>
      </c>
    </row>
    <row r="138" spans="2:87" ht="21.75" customHeight="1">
      <c r="B138" s="38">
        <v>35</v>
      </c>
      <c r="C138" s="41"/>
      <c r="D138" s="45"/>
      <c r="E138" s="45"/>
      <c r="F138" s="45"/>
      <c r="G138" s="45"/>
      <c r="H138" s="45"/>
      <c r="I138" s="45"/>
      <c r="J138" s="45"/>
      <c r="K138" s="39"/>
      <c r="L138" s="39"/>
      <c r="M138" s="39"/>
      <c r="N138" s="45"/>
      <c r="O138" s="45"/>
      <c r="R138" s="4">
        <f t="shared" si="48"/>
        <v>35</v>
      </c>
      <c r="S138" s="1" t="str">
        <f t="shared" si="49"/>
        <v/>
      </c>
      <c r="T138" s="4"/>
      <c r="U138" s="4"/>
      <c r="V138" s="4"/>
      <c r="W138" s="4"/>
      <c r="X138" s="4"/>
      <c r="Y138" s="4"/>
      <c r="Z138" s="4"/>
      <c r="AA138" s="2" t="str">
        <f t="shared" si="50"/>
        <v/>
      </c>
      <c r="AB138" s="2" t="str">
        <f t="shared" si="51"/>
        <v/>
      </c>
      <c r="AC138" s="4">
        <f t="shared" si="52"/>
        <v>35</v>
      </c>
      <c r="AD138" s="1" t="str">
        <f t="shared" si="53"/>
        <v/>
      </c>
      <c r="AE138" s="4"/>
      <c r="AF138" s="4"/>
      <c r="AG138" s="4"/>
      <c r="AH138" s="4"/>
      <c r="AI138" s="4"/>
      <c r="AJ138" s="4"/>
      <c r="AK138" s="4"/>
      <c r="AL138" s="2" t="str">
        <f t="shared" si="54"/>
        <v/>
      </c>
      <c r="AM138" s="2" t="str">
        <f t="shared" si="55"/>
        <v/>
      </c>
      <c r="AN138" s="4">
        <f t="shared" si="56"/>
        <v>35</v>
      </c>
      <c r="AO138" s="1" t="str">
        <f t="shared" si="57"/>
        <v/>
      </c>
      <c r="AP138" s="4"/>
      <c r="AQ138" s="4"/>
      <c r="AR138" s="4"/>
      <c r="AS138" s="4"/>
      <c r="AT138" s="4"/>
      <c r="AU138" s="4"/>
      <c r="AV138" s="4"/>
      <c r="AW138" s="2" t="str">
        <f t="shared" si="58"/>
        <v/>
      </c>
      <c r="AX138" s="23" t="str">
        <f t="shared" si="59"/>
        <v/>
      </c>
      <c r="AY138" s="4">
        <f t="shared" si="60"/>
        <v>35</v>
      </c>
      <c r="AZ138" s="1" t="str">
        <f t="shared" si="61"/>
        <v/>
      </c>
      <c r="BA138" s="4"/>
      <c r="BB138" s="4"/>
      <c r="BC138" s="4"/>
      <c r="BD138" s="4"/>
      <c r="BE138" s="4"/>
      <c r="BF138" s="4"/>
      <c r="BG138" s="4"/>
      <c r="BH138" s="2" t="str">
        <f t="shared" si="62"/>
        <v/>
      </c>
      <c r="BI138" s="2" t="str">
        <f t="shared" si="63"/>
        <v/>
      </c>
      <c r="BJ138" s="4">
        <f t="shared" si="64"/>
        <v>35</v>
      </c>
      <c r="BK138" s="1" t="str">
        <f t="shared" si="65"/>
        <v/>
      </c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2" t="str">
        <f t="shared" si="66"/>
        <v/>
      </c>
      <c r="CB138" s="2" t="str">
        <f t="shared" si="67"/>
        <v/>
      </c>
      <c r="CC138" s="4">
        <f t="shared" si="68"/>
        <v>35</v>
      </c>
      <c r="CD138" s="1" t="str">
        <f t="shared" si="69"/>
        <v/>
      </c>
      <c r="CE138" s="4"/>
      <c r="CF138" s="4"/>
      <c r="CG138" s="4"/>
      <c r="CH138" s="2" t="str">
        <f t="shared" si="70"/>
        <v/>
      </c>
      <c r="CI138" s="2" t="str">
        <f t="shared" si="71"/>
        <v/>
      </c>
    </row>
    <row r="139" spans="2:87" ht="21.75" customHeight="1">
      <c r="B139" s="38">
        <v>36</v>
      </c>
      <c r="C139" s="41"/>
      <c r="D139" s="45"/>
      <c r="E139" s="45"/>
      <c r="F139" s="45"/>
      <c r="G139" s="45"/>
      <c r="H139" s="45"/>
      <c r="I139" s="45"/>
      <c r="J139" s="45"/>
      <c r="K139" s="39"/>
      <c r="L139" s="39"/>
      <c r="M139" s="39"/>
      <c r="N139" s="45"/>
      <c r="O139" s="45"/>
      <c r="R139" s="4">
        <f t="shared" si="48"/>
        <v>36</v>
      </c>
      <c r="S139" s="1" t="str">
        <f t="shared" si="49"/>
        <v/>
      </c>
      <c r="T139" s="4"/>
      <c r="U139" s="4"/>
      <c r="V139" s="4"/>
      <c r="W139" s="4"/>
      <c r="X139" s="4"/>
      <c r="Y139" s="4"/>
      <c r="Z139" s="4"/>
      <c r="AA139" s="2" t="str">
        <f t="shared" si="50"/>
        <v/>
      </c>
      <c r="AB139" s="2" t="str">
        <f t="shared" si="51"/>
        <v/>
      </c>
      <c r="AC139" s="4">
        <f t="shared" si="52"/>
        <v>36</v>
      </c>
      <c r="AD139" s="1" t="str">
        <f t="shared" si="53"/>
        <v/>
      </c>
      <c r="AE139" s="4"/>
      <c r="AF139" s="4"/>
      <c r="AG139" s="4"/>
      <c r="AH139" s="4"/>
      <c r="AI139" s="4"/>
      <c r="AJ139" s="4"/>
      <c r="AK139" s="4"/>
      <c r="AL139" s="2" t="str">
        <f t="shared" si="54"/>
        <v/>
      </c>
      <c r="AM139" s="2" t="str">
        <f t="shared" si="55"/>
        <v/>
      </c>
      <c r="AN139" s="4">
        <f t="shared" si="56"/>
        <v>36</v>
      </c>
      <c r="AO139" s="1" t="str">
        <f t="shared" si="57"/>
        <v/>
      </c>
      <c r="AP139" s="4"/>
      <c r="AQ139" s="4"/>
      <c r="AR139" s="4"/>
      <c r="AS139" s="4"/>
      <c r="AT139" s="4"/>
      <c r="AU139" s="4"/>
      <c r="AV139" s="4"/>
      <c r="AW139" s="2" t="str">
        <f t="shared" si="58"/>
        <v/>
      </c>
      <c r="AX139" s="23" t="str">
        <f t="shared" si="59"/>
        <v/>
      </c>
      <c r="AY139" s="4">
        <f t="shared" si="60"/>
        <v>36</v>
      </c>
      <c r="AZ139" s="1" t="str">
        <f t="shared" si="61"/>
        <v/>
      </c>
      <c r="BA139" s="4"/>
      <c r="BB139" s="4"/>
      <c r="BC139" s="4"/>
      <c r="BD139" s="4"/>
      <c r="BE139" s="4"/>
      <c r="BF139" s="4"/>
      <c r="BG139" s="4"/>
      <c r="BH139" s="2" t="str">
        <f t="shared" si="62"/>
        <v/>
      </c>
      <c r="BI139" s="2" t="str">
        <f t="shared" si="63"/>
        <v/>
      </c>
      <c r="BJ139" s="4">
        <f t="shared" si="64"/>
        <v>36</v>
      </c>
      <c r="BK139" s="1" t="str">
        <f t="shared" si="65"/>
        <v/>
      </c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2" t="str">
        <f t="shared" si="66"/>
        <v/>
      </c>
      <c r="CB139" s="2" t="str">
        <f t="shared" si="67"/>
        <v/>
      </c>
      <c r="CC139" s="4">
        <f t="shared" si="68"/>
        <v>36</v>
      </c>
      <c r="CD139" s="1" t="str">
        <f t="shared" si="69"/>
        <v/>
      </c>
      <c r="CE139" s="4"/>
      <c r="CF139" s="4"/>
      <c r="CG139" s="4"/>
      <c r="CH139" s="2" t="str">
        <f t="shared" si="70"/>
        <v/>
      </c>
      <c r="CI139" s="2" t="str">
        <f t="shared" si="71"/>
        <v/>
      </c>
    </row>
    <row r="140" spans="2:87" ht="21.75" customHeight="1">
      <c r="B140" s="38">
        <v>37</v>
      </c>
      <c r="C140" s="41"/>
      <c r="D140" s="45"/>
      <c r="E140" s="45"/>
      <c r="F140" s="45"/>
      <c r="G140" s="45"/>
      <c r="H140" s="45"/>
      <c r="I140" s="45"/>
      <c r="J140" s="45"/>
      <c r="K140" s="39"/>
      <c r="L140" s="39"/>
      <c r="M140" s="39"/>
      <c r="N140" s="45"/>
      <c r="O140" s="45"/>
      <c r="R140" s="4">
        <f t="shared" si="48"/>
        <v>37</v>
      </c>
      <c r="S140" s="1" t="str">
        <f t="shared" si="49"/>
        <v/>
      </c>
      <c r="T140" s="4"/>
      <c r="U140" s="4"/>
      <c r="V140" s="4"/>
      <c r="W140" s="4"/>
      <c r="X140" s="4"/>
      <c r="Y140" s="4"/>
      <c r="Z140" s="4"/>
      <c r="AA140" s="2" t="str">
        <f t="shared" si="50"/>
        <v/>
      </c>
      <c r="AB140" s="2" t="str">
        <f t="shared" si="51"/>
        <v/>
      </c>
      <c r="AC140" s="4">
        <f t="shared" si="52"/>
        <v>37</v>
      </c>
      <c r="AD140" s="1" t="str">
        <f t="shared" si="53"/>
        <v/>
      </c>
      <c r="AE140" s="4"/>
      <c r="AF140" s="4"/>
      <c r="AG140" s="4"/>
      <c r="AH140" s="4"/>
      <c r="AI140" s="4"/>
      <c r="AJ140" s="4"/>
      <c r="AK140" s="4"/>
      <c r="AL140" s="2" t="str">
        <f t="shared" si="54"/>
        <v/>
      </c>
      <c r="AM140" s="2" t="str">
        <f t="shared" si="55"/>
        <v/>
      </c>
      <c r="AN140" s="4">
        <f t="shared" si="56"/>
        <v>37</v>
      </c>
      <c r="AO140" s="1" t="str">
        <f t="shared" si="57"/>
        <v/>
      </c>
      <c r="AP140" s="4"/>
      <c r="AQ140" s="4"/>
      <c r="AR140" s="4"/>
      <c r="AS140" s="4"/>
      <c r="AT140" s="4"/>
      <c r="AU140" s="4"/>
      <c r="AV140" s="4"/>
      <c r="AW140" s="2" t="str">
        <f t="shared" si="58"/>
        <v/>
      </c>
      <c r="AX140" s="23" t="str">
        <f t="shared" si="59"/>
        <v/>
      </c>
      <c r="AY140" s="4">
        <f t="shared" si="60"/>
        <v>37</v>
      </c>
      <c r="AZ140" s="1" t="str">
        <f t="shared" si="61"/>
        <v/>
      </c>
      <c r="BA140" s="4"/>
      <c r="BB140" s="4"/>
      <c r="BC140" s="4"/>
      <c r="BD140" s="4"/>
      <c r="BE140" s="4"/>
      <c r="BF140" s="4"/>
      <c r="BG140" s="4"/>
      <c r="BH140" s="2" t="str">
        <f t="shared" si="62"/>
        <v/>
      </c>
      <c r="BI140" s="2" t="str">
        <f t="shared" si="63"/>
        <v/>
      </c>
      <c r="BJ140" s="4">
        <f t="shared" si="64"/>
        <v>37</v>
      </c>
      <c r="BK140" s="1" t="str">
        <f t="shared" si="65"/>
        <v/>
      </c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2" t="str">
        <f t="shared" si="66"/>
        <v/>
      </c>
      <c r="CB140" s="2" t="str">
        <f t="shared" si="67"/>
        <v/>
      </c>
      <c r="CC140" s="4">
        <f t="shared" si="68"/>
        <v>37</v>
      </c>
      <c r="CD140" s="1" t="str">
        <f t="shared" si="69"/>
        <v/>
      </c>
      <c r="CE140" s="4"/>
      <c r="CF140" s="4"/>
      <c r="CG140" s="4"/>
      <c r="CH140" s="2" t="str">
        <f t="shared" si="70"/>
        <v/>
      </c>
      <c r="CI140" s="2" t="str">
        <f t="shared" si="71"/>
        <v/>
      </c>
    </row>
    <row r="141" spans="2:87" ht="21.75" customHeight="1">
      <c r="B141" s="38">
        <v>38</v>
      </c>
      <c r="C141" s="41"/>
      <c r="D141" s="45"/>
      <c r="E141" s="45"/>
      <c r="F141" s="45"/>
      <c r="G141" s="45"/>
      <c r="H141" s="45"/>
      <c r="I141" s="45"/>
      <c r="J141" s="45"/>
      <c r="K141" s="39"/>
      <c r="L141" s="39"/>
      <c r="M141" s="39"/>
      <c r="N141" s="45"/>
      <c r="O141" s="45"/>
      <c r="R141" s="4">
        <f t="shared" si="48"/>
        <v>38</v>
      </c>
      <c r="S141" s="1" t="str">
        <f t="shared" si="49"/>
        <v/>
      </c>
      <c r="T141" s="4"/>
      <c r="U141" s="4"/>
      <c r="V141" s="4"/>
      <c r="W141" s="4"/>
      <c r="X141" s="4"/>
      <c r="Y141" s="4"/>
      <c r="Z141" s="4"/>
      <c r="AA141" s="2" t="str">
        <f t="shared" si="50"/>
        <v/>
      </c>
      <c r="AB141" s="2" t="str">
        <f t="shared" si="51"/>
        <v/>
      </c>
      <c r="AC141" s="4">
        <f t="shared" si="52"/>
        <v>38</v>
      </c>
      <c r="AD141" s="1" t="str">
        <f t="shared" si="53"/>
        <v/>
      </c>
      <c r="AE141" s="4"/>
      <c r="AF141" s="4"/>
      <c r="AG141" s="4"/>
      <c r="AH141" s="4"/>
      <c r="AI141" s="4"/>
      <c r="AJ141" s="4"/>
      <c r="AK141" s="4"/>
      <c r="AL141" s="2" t="str">
        <f t="shared" si="54"/>
        <v/>
      </c>
      <c r="AM141" s="2" t="str">
        <f t="shared" si="55"/>
        <v/>
      </c>
      <c r="AN141" s="4">
        <f t="shared" si="56"/>
        <v>38</v>
      </c>
      <c r="AO141" s="1" t="str">
        <f t="shared" si="57"/>
        <v/>
      </c>
      <c r="AP141" s="4"/>
      <c r="AQ141" s="4"/>
      <c r="AR141" s="4"/>
      <c r="AS141" s="4"/>
      <c r="AT141" s="4"/>
      <c r="AU141" s="4"/>
      <c r="AV141" s="4"/>
      <c r="AW141" s="2" t="str">
        <f t="shared" si="58"/>
        <v/>
      </c>
      <c r="AX141" s="23" t="str">
        <f t="shared" si="59"/>
        <v/>
      </c>
      <c r="AY141" s="4">
        <f t="shared" si="60"/>
        <v>38</v>
      </c>
      <c r="AZ141" s="1" t="str">
        <f t="shared" si="61"/>
        <v/>
      </c>
      <c r="BA141" s="4"/>
      <c r="BB141" s="4"/>
      <c r="BC141" s="4"/>
      <c r="BD141" s="4"/>
      <c r="BE141" s="4"/>
      <c r="BF141" s="4"/>
      <c r="BG141" s="4"/>
      <c r="BH141" s="2" t="str">
        <f t="shared" si="62"/>
        <v/>
      </c>
      <c r="BI141" s="2" t="str">
        <f t="shared" si="63"/>
        <v/>
      </c>
      <c r="BJ141" s="4">
        <f t="shared" si="64"/>
        <v>38</v>
      </c>
      <c r="BK141" s="1" t="str">
        <f t="shared" si="65"/>
        <v/>
      </c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2" t="str">
        <f t="shared" si="66"/>
        <v/>
      </c>
      <c r="CB141" s="2" t="str">
        <f t="shared" si="67"/>
        <v/>
      </c>
      <c r="CC141" s="4">
        <f t="shared" si="68"/>
        <v>38</v>
      </c>
      <c r="CD141" s="1" t="str">
        <f t="shared" si="69"/>
        <v/>
      </c>
      <c r="CE141" s="4"/>
      <c r="CF141" s="4"/>
      <c r="CG141" s="4"/>
      <c r="CH141" s="2" t="str">
        <f t="shared" si="70"/>
        <v/>
      </c>
      <c r="CI141" s="2" t="str">
        <f t="shared" si="71"/>
        <v/>
      </c>
    </row>
    <row r="142" spans="2:87" ht="21.75" customHeight="1">
      <c r="B142" s="38">
        <v>39</v>
      </c>
      <c r="C142" s="41"/>
      <c r="D142" s="45"/>
      <c r="E142" s="45"/>
      <c r="F142" s="45"/>
      <c r="G142" s="45"/>
      <c r="H142" s="45"/>
      <c r="I142" s="45"/>
      <c r="J142" s="45"/>
      <c r="K142" s="39"/>
      <c r="L142" s="39"/>
      <c r="M142" s="39"/>
      <c r="N142" s="45"/>
      <c r="O142" s="45"/>
      <c r="R142" s="4">
        <f t="shared" si="48"/>
        <v>39</v>
      </c>
      <c r="S142" s="1" t="str">
        <f t="shared" si="49"/>
        <v/>
      </c>
      <c r="T142" s="4"/>
      <c r="U142" s="4"/>
      <c r="V142" s="4"/>
      <c r="W142" s="4"/>
      <c r="X142" s="4"/>
      <c r="Y142" s="4"/>
      <c r="Z142" s="4"/>
      <c r="AA142" s="2" t="str">
        <f t="shared" si="50"/>
        <v/>
      </c>
      <c r="AB142" s="2" t="str">
        <f t="shared" si="51"/>
        <v/>
      </c>
      <c r="AC142" s="4">
        <f t="shared" si="52"/>
        <v>39</v>
      </c>
      <c r="AD142" s="1" t="str">
        <f t="shared" si="53"/>
        <v/>
      </c>
      <c r="AE142" s="4"/>
      <c r="AF142" s="4"/>
      <c r="AG142" s="4"/>
      <c r="AH142" s="4"/>
      <c r="AI142" s="4"/>
      <c r="AJ142" s="4"/>
      <c r="AK142" s="4"/>
      <c r="AL142" s="2" t="str">
        <f t="shared" si="54"/>
        <v/>
      </c>
      <c r="AM142" s="2" t="str">
        <f t="shared" si="55"/>
        <v/>
      </c>
      <c r="AN142" s="4">
        <f t="shared" si="56"/>
        <v>39</v>
      </c>
      <c r="AO142" s="1" t="str">
        <f t="shared" si="57"/>
        <v/>
      </c>
      <c r="AP142" s="4"/>
      <c r="AQ142" s="4"/>
      <c r="AR142" s="4"/>
      <c r="AS142" s="4"/>
      <c r="AT142" s="4"/>
      <c r="AU142" s="4"/>
      <c r="AV142" s="4"/>
      <c r="AW142" s="2" t="str">
        <f t="shared" si="58"/>
        <v/>
      </c>
      <c r="AX142" s="23" t="str">
        <f t="shared" si="59"/>
        <v/>
      </c>
      <c r="AY142" s="4">
        <f t="shared" si="60"/>
        <v>39</v>
      </c>
      <c r="AZ142" s="1" t="str">
        <f t="shared" si="61"/>
        <v/>
      </c>
      <c r="BA142" s="4"/>
      <c r="BB142" s="4"/>
      <c r="BC142" s="4"/>
      <c r="BD142" s="4"/>
      <c r="BE142" s="4"/>
      <c r="BF142" s="4"/>
      <c r="BG142" s="4"/>
      <c r="BH142" s="2" t="str">
        <f t="shared" si="62"/>
        <v/>
      </c>
      <c r="BI142" s="2" t="str">
        <f t="shared" si="63"/>
        <v/>
      </c>
      <c r="BJ142" s="4">
        <f t="shared" si="64"/>
        <v>39</v>
      </c>
      <c r="BK142" s="1" t="str">
        <f t="shared" si="65"/>
        <v/>
      </c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2" t="str">
        <f t="shared" si="66"/>
        <v/>
      </c>
      <c r="CB142" s="2"/>
      <c r="CC142" s="4">
        <f t="shared" si="68"/>
        <v>39</v>
      </c>
      <c r="CD142" s="1" t="str">
        <f t="shared" si="69"/>
        <v/>
      </c>
      <c r="CE142" s="4"/>
      <c r="CF142" s="4"/>
      <c r="CG142" s="4"/>
      <c r="CH142" s="2" t="str">
        <f t="shared" si="70"/>
        <v/>
      </c>
      <c r="CI142" s="2"/>
    </row>
    <row r="143" spans="2:87" ht="21.75" customHeight="1">
      <c r="B143" s="38">
        <v>40</v>
      </c>
      <c r="C143" s="41"/>
      <c r="D143" s="45"/>
      <c r="E143" s="45"/>
      <c r="F143" s="45"/>
      <c r="G143" s="45"/>
      <c r="H143" s="45"/>
      <c r="I143" s="45"/>
      <c r="J143" s="45"/>
      <c r="K143" s="39"/>
      <c r="L143" s="39"/>
      <c r="M143" s="39"/>
      <c r="N143" s="45"/>
      <c r="O143" s="45"/>
      <c r="R143" s="4">
        <f t="shared" si="48"/>
        <v>40</v>
      </c>
      <c r="S143" s="1" t="str">
        <f t="shared" si="49"/>
        <v/>
      </c>
      <c r="T143" s="4"/>
      <c r="U143" s="4"/>
      <c r="V143" s="4"/>
      <c r="W143" s="4"/>
      <c r="X143" s="4"/>
      <c r="Y143" s="4"/>
      <c r="Z143" s="4"/>
      <c r="AA143" s="2" t="str">
        <f t="shared" si="50"/>
        <v/>
      </c>
      <c r="AB143" s="2" t="str">
        <f t="shared" si="51"/>
        <v/>
      </c>
      <c r="AC143" s="4">
        <f t="shared" si="52"/>
        <v>40</v>
      </c>
      <c r="AD143" s="1" t="str">
        <f t="shared" si="53"/>
        <v/>
      </c>
      <c r="AE143" s="4"/>
      <c r="AF143" s="4"/>
      <c r="AG143" s="4"/>
      <c r="AH143" s="4"/>
      <c r="AI143" s="4"/>
      <c r="AJ143" s="4"/>
      <c r="AK143" s="4"/>
      <c r="AL143" s="2" t="str">
        <f t="shared" si="54"/>
        <v/>
      </c>
      <c r="AM143" s="2" t="str">
        <f t="shared" si="55"/>
        <v/>
      </c>
      <c r="AN143" s="4">
        <f t="shared" si="56"/>
        <v>40</v>
      </c>
      <c r="AO143" s="1" t="str">
        <f t="shared" si="57"/>
        <v/>
      </c>
      <c r="AP143" s="4"/>
      <c r="AQ143" s="4"/>
      <c r="AR143" s="4"/>
      <c r="AS143" s="4"/>
      <c r="AT143" s="4"/>
      <c r="AU143" s="4"/>
      <c r="AV143" s="4"/>
      <c r="AW143" s="2" t="str">
        <f t="shared" si="58"/>
        <v/>
      </c>
      <c r="AX143" s="23" t="str">
        <f t="shared" si="59"/>
        <v/>
      </c>
      <c r="AY143" s="4">
        <f t="shared" si="60"/>
        <v>40</v>
      </c>
      <c r="AZ143" s="1" t="str">
        <f t="shared" si="61"/>
        <v/>
      </c>
      <c r="BA143" s="4"/>
      <c r="BB143" s="4"/>
      <c r="BC143" s="4"/>
      <c r="BD143" s="4"/>
      <c r="BE143" s="4"/>
      <c r="BF143" s="4"/>
      <c r="BG143" s="4"/>
      <c r="BH143" s="2" t="str">
        <f t="shared" si="62"/>
        <v/>
      </c>
      <c r="BI143" s="2" t="str">
        <f t="shared" si="63"/>
        <v/>
      </c>
      <c r="BJ143" s="4">
        <f t="shared" si="64"/>
        <v>40</v>
      </c>
      <c r="BK143" s="1" t="str">
        <f t="shared" si="65"/>
        <v/>
      </c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2" t="str">
        <f t="shared" si="66"/>
        <v/>
      </c>
      <c r="CB143" s="2"/>
      <c r="CC143" s="4">
        <f t="shared" si="68"/>
        <v>40</v>
      </c>
      <c r="CD143" s="1" t="str">
        <f t="shared" si="69"/>
        <v/>
      </c>
      <c r="CE143" s="4"/>
      <c r="CF143" s="4"/>
      <c r="CG143" s="4"/>
      <c r="CH143" s="2" t="str">
        <f t="shared" si="70"/>
        <v/>
      </c>
      <c r="CI143" s="2"/>
    </row>
    <row r="144" spans="2:87" ht="21.75" hidden="1" customHeight="1">
      <c r="B144" s="38"/>
      <c r="C144" s="41"/>
      <c r="D144" s="45"/>
      <c r="E144" s="45"/>
      <c r="F144" s="45"/>
      <c r="G144" s="45"/>
      <c r="H144" s="45"/>
      <c r="I144" s="45"/>
      <c r="J144" s="45"/>
      <c r="K144" s="39"/>
      <c r="L144" s="39"/>
      <c r="M144" s="39"/>
      <c r="N144" s="45"/>
      <c r="O144" s="45"/>
      <c r="R144" s="4"/>
      <c r="S144" s="26"/>
      <c r="T144" s="4"/>
      <c r="U144" s="4"/>
      <c r="V144" s="4"/>
      <c r="W144" s="4"/>
      <c r="X144" s="4"/>
      <c r="Y144" s="4"/>
      <c r="Z144" s="4"/>
      <c r="AA144" s="2">
        <v>3</v>
      </c>
      <c r="AB144" s="2">
        <v>30</v>
      </c>
      <c r="AC144" s="4"/>
      <c r="AD144" s="26"/>
      <c r="AE144" s="4"/>
      <c r="AF144" s="4"/>
      <c r="AG144" s="4"/>
      <c r="AH144" s="4"/>
      <c r="AI144" s="4"/>
      <c r="AJ144" s="4"/>
      <c r="AK144" s="4"/>
      <c r="AL144" s="2">
        <v>3</v>
      </c>
      <c r="AM144" s="2">
        <v>30</v>
      </c>
      <c r="AN144" s="4"/>
      <c r="AO144" s="26"/>
      <c r="AP144" s="4"/>
      <c r="AQ144" s="4"/>
      <c r="AR144" s="4"/>
      <c r="AS144" s="4"/>
      <c r="AT144" s="4"/>
      <c r="AU144" s="4"/>
      <c r="AV144" s="4"/>
      <c r="AW144" s="2">
        <v>3</v>
      </c>
      <c r="AX144" s="23">
        <v>30</v>
      </c>
      <c r="AY144" s="4"/>
      <c r="AZ144" s="26"/>
      <c r="BA144" s="4"/>
      <c r="BB144" s="4"/>
      <c r="BC144" s="4"/>
      <c r="BD144" s="4"/>
      <c r="BE144" s="4"/>
      <c r="BF144" s="4"/>
      <c r="BG144" s="4"/>
      <c r="BH144" s="2">
        <v>3</v>
      </c>
      <c r="BI144" s="2">
        <v>30</v>
      </c>
      <c r="BJ144" s="4"/>
      <c r="BK144" s="26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2">
        <v>10</v>
      </c>
      <c r="CB144" s="2">
        <v>30</v>
      </c>
      <c r="CC144" s="4"/>
      <c r="CD144" s="26"/>
      <c r="CE144" s="4"/>
      <c r="CF144" s="4"/>
      <c r="CG144" s="4"/>
      <c r="CH144" s="2">
        <v>10</v>
      </c>
      <c r="CI144" s="2">
        <v>30</v>
      </c>
    </row>
    <row r="145" spans="2:87" ht="21.75" customHeight="1">
      <c r="B145" s="38"/>
      <c r="C145" s="48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R145" s="57" t="s">
        <v>38</v>
      </c>
      <c r="S145" s="58"/>
      <c r="T145" s="5"/>
      <c r="U145" s="5"/>
      <c r="V145" s="5"/>
      <c r="W145" s="5"/>
      <c r="X145" s="5"/>
      <c r="Y145" s="5"/>
      <c r="Z145" s="5"/>
      <c r="AA145" s="27" t="e">
        <f>IF(ISBLANK(AB145),"",AB145)</f>
        <v>#DIV/0!</v>
      </c>
      <c r="AB145" s="5" t="e">
        <f>AVERAGE(AB104:AB143)</f>
        <v>#DIV/0!</v>
      </c>
      <c r="AC145" s="57" t="s">
        <v>38</v>
      </c>
      <c r="AD145" s="58"/>
      <c r="AE145" s="5"/>
      <c r="AF145" s="5"/>
      <c r="AG145" s="5"/>
      <c r="AH145" s="5"/>
      <c r="AI145" s="5"/>
      <c r="AJ145" s="5"/>
      <c r="AK145" s="5"/>
      <c r="AL145" s="27" t="str">
        <f>IF(ISBLANK(AM145),"",AM145)</f>
        <v/>
      </c>
      <c r="AM145" s="5" t="str">
        <f>IF(ISERROR(AVERAGE(AM104:AM143)),"",AVERAGE(AM104:AM143))</f>
        <v/>
      </c>
      <c r="AN145" s="57" t="s">
        <v>38</v>
      </c>
      <c r="AO145" s="58"/>
      <c r="AP145" s="5"/>
      <c r="AQ145" s="5"/>
      <c r="AR145" s="5"/>
      <c r="AS145" s="5"/>
      <c r="AT145" s="5"/>
      <c r="AU145" s="5"/>
      <c r="AV145" s="5"/>
      <c r="AW145" s="27" t="str">
        <f>IF(ISBLANK(AX145),"",AX145)</f>
        <v/>
      </c>
      <c r="AX145" s="5" t="str">
        <f>IF(ISERROR(AVERAGE(AX104:AX143)),"",AVERAGE(AX104:AX143))</f>
        <v/>
      </c>
      <c r="AY145" s="57" t="s">
        <v>38</v>
      </c>
      <c r="AZ145" s="58"/>
      <c r="BA145" s="5"/>
      <c r="BB145" s="5"/>
      <c r="BC145" s="5"/>
      <c r="BD145" s="5"/>
      <c r="BE145" s="5"/>
      <c r="BF145" s="5"/>
      <c r="BG145" s="5"/>
      <c r="BH145" s="27" t="str">
        <f>IF(ISBLANK(BI145),"",BI145)</f>
        <v/>
      </c>
      <c r="BI145" s="5" t="str">
        <f>IF(ISERROR(AVERAGE(BI104:BI143)),"",AVERAGE(BI104:BI143))</f>
        <v/>
      </c>
      <c r="BJ145" s="57" t="s">
        <v>38</v>
      </c>
      <c r="BK145" s="58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27" t="str">
        <f>IF(ISBLANK(CB145),"",CB145)</f>
        <v/>
      </c>
      <c r="CB145" s="5" t="str">
        <f>IF(ISERROR(AVERAGE(CB104:CB143)),"",AVERAGE(CB104:CB143))</f>
        <v/>
      </c>
      <c r="CC145" s="57" t="s">
        <v>38</v>
      </c>
      <c r="CD145" s="58"/>
      <c r="CE145" s="5"/>
      <c r="CF145" s="5"/>
      <c r="CG145" s="5"/>
      <c r="CH145" s="27" t="str">
        <f>IF(ISBLANK(CI145),"",CI145)</f>
        <v/>
      </c>
      <c r="CI145" s="5" t="str">
        <f>IF(ISERROR(AVERAGE(CI104:CI143)),"",AVERAGE(CI104:CI143))</f>
        <v/>
      </c>
    </row>
    <row r="146" spans="2:87">
      <c r="B146" s="50"/>
      <c r="C146" s="50" t="s">
        <v>39</v>
      </c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</row>
    <row r="147" spans="2:87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R147" s="28" t="s">
        <v>40</v>
      </c>
      <c r="S147" s="28"/>
      <c r="T147" s="28" t="str">
        <f>IF(ISBLANK($G146),"",$G146)</f>
        <v/>
      </c>
      <c r="U147" s="28"/>
      <c r="V147" s="28"/>
      <c r="W147" s="28"/>
      <c r="X147" s="28"/>
      <c r="Y147" s="28"/>
      <c r="Z147" s="28"/>
      <c r="AA147" s="28"/>
      <c r="AB147" s="28"/>
      <c r="AC147" s="28" t="s">
        <v>40</v>
      </c>
      <c r="AD147" s="28"/>
      <c r="AE147" s="28" t="str">
        <f>IF(ISBLANK($G146),"",$G146)</f>
        <v/>
      </c>
      <c r="AF147" s="28"/>
      <c r="AG147" s="28"/>
      <c r="AH147" s="28"/>
      <c r="AI147" s="28"/>
      <c r="AJ147" s="28"/>
      <c r="AK147" s="28"/>
      <c r="AL147" s="28"/>
      <c r="AM147" s="28"/>
      <c r="AN147" s="28" t="s">
        <v>40</v>
      </c>
      <c r="AO147" s="28"/>
      <c r="AP147" s="28" t="str">
        <f>IF(ISBLANK($G146),"",$G146)</f>
        <v/>
      </c>
      <c r="AQ147" s="28"/>
      <c r="AR147" s="28"/>
      <c r="AS147" s="28"/>
      <c r="AT147" s="28"/>
      <c r="AU147" s="28"/>
      <c r="AV147" s="28"/>
      <c r="AW147" s="28"/>
      <c r="AX147" s="28"/>
      <c r="AY147" s="28" t="s">
        <v>40</v>
      </c>
      <c r="AZ147" s="28"/>
      <c r="BA147" s="28" t="str">
        <f>IF(ISBLANK($G146),"",$G146)</f>
        <v/>
      </c>
      <c r="BB147" s="28"/>
      <c r="BC147" s="28"/>
      <c r="BD147" s="28"/>
      <c r="BE147" s="28"/>
      <c r="BF147" s="28"/>
      <c r="BG147" s="28"/>
      <c r="BH147" s="28"/>
      <c r="BI147" s="28"/>
      <c r="BJ147" s="28" t="s">
        <v>40</v>
      </c>
      <c r="BK147" s="28"/>
      <c r="BL147" s="28"/>
      <c r="BM147" s="28"/>
      <c r="BN147" s="28"/>
      <c r="BO147" s="28"/>
      <c r="BP147" s="28" t="str">
        <f>IF(ISBLANK($G146),"",$G146)</f>
        <v/>
      </c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 t="s">
        <v>40</v>
      </c>
      <c r="CD147" s="28"/>
      <c r="CE147" s="28" t="str">
        <f>IF(ISBLANK($G146),"",$G146)</f>
        <v/>
      </c>
      <c r="CF147" s="28"/>
      <c r="CG147" s="28"/>
      <c r="CH147" s="28"/>
      <c r="CI147" s="28"/>
    </row>
    <row r="148" spans="2:87" ht="44.25" customHeight="1">
      <c r="B148" s="69" t="s">
        <v>17</v>
      </c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R148" s="69" t="s">
        <v>18</v>
      </c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9" t="s">
        <v>18</v>
      </c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9" t="s">
        <v>18</v>
      </c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9" t="s">
        <v>18</v>
      </c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9" t="s">
        <v>19</v>
      </c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9" t="s">
        <v>19</v>
      </c>
      <c r="CD148" s="68"/>
      <c r="CE148" s="68"/>
      <c r="CF148" s="68"/>
      <c r="CG148" s="68"/>
      <c r="CH148" s="68"/>
      <c r="CI148" s="68"/>
    </row>
    <row r="149" spans="2:87" ht="25.5" customHeight="1">
      <c r="B149" s="43" t="s">
        <v>16</v>
      </c>
      <c r="C149" s="43"/>
      <c r="D149" s="44" t="s">
        <v>0</v>
      </c>
      <c r="E149" s="47"/>
      <c r="F149" s="44" t="s">
        <v>2</v>
      </c>
      <c r="G149" s="47"/>
      <c r="H149" s="43"/>
      <c r="I149" s="43"/>
      <c r="J149" s="43"/>
      <c r="K149" s="43"/>
      <c r="L149" s="43"/>
      <c r="M149" s="43"/>
      <c r="N149" s="43"/>
      <c r="O149" s="43"/>
      <c r="R149" s="13" t="str">
        <f>$B$2</f>
        <v>fan</v>
      </c>
      <c r="S149" s="14">
        <f>$C$2</f>
        <v>0</v>
      </c>
      <c r="T149" s="13" t="str">
        <f>$D$2</f>
        <v>chorak</v>
      </c>
      <c r="U149" s="14">
        <f>$E$2</f>
        <v>0</v>
      </c>
      <c r="V149" s="13" t="str">
        <f>$F$2</f>
        <v xml:space="preserve">sinf </v>
      </c>
      <c r="W149" s="14">
        <f>$G$2</f>
        <v>0</v>
      </c>
      <c r="X149" s="15"/>
      <c r="Y149" s="15"/>
      <c r="Z149" s="15"/>
      <c r="AA149" s="15" t="b">
        <f>IF(MAX(AA153:AA192)&gt;40,50,IF(MAX(AA153:AA192)&gt;20,25,IF(MAX(AA153:AA192)&gt;15,20,IF(MAX(AA153:AA192)&gt;8,10))))</f>
        <v>0</v>
      </c>
      <c r="AB149" s="16" t="s">
        <v>20</v>
      </c>
      <c r="AC149" s="13" t="str">
        <f>$B$2</f>
        <v>fan</v>
      </c>
      <c r="AD149" s="14">
        <f>$C$2</f>
        <v>0</v>
      </c>
      <c r="AE149" s="13" t="str">
        <f>$D$2</f>
        <v>chorak</v>
      </c>
      <c r="AF149" s="14">
        <f>$E$2</f>
        <v>0</v>
      </c>
      <c r="AG149" s="13" t="str">
        <f>$F$2</f>
        <v xml:space="preserve">sinf </v>
      </c>
      <c r="AH149" s="14">
        <f>$G$2</f>
        <v>0</v>
      </c>
      <c r="AI149" s="15"/>
      <c r="AJ149" s="15"/>
      <c r="AK149" s="15"/>
      <c r="AL149" s="15" t="b">
        <f>IF(MAX(AL153:AL192)&gt;40,50,IF(MAX(AL153:AL192)&gt;20,25,IF(MAX(AL153:AL192)&gt;15,20,IF(MAX(AL153:AL192)&gt;8,10))))</f>
        <v>0</v>
      </c>
      <c r="AM149" s="16" t="s">
        <v>20</v>
      </c>
      <c r="AN149" s="13" t="str">
        <f>$B$2</f>
        <v>fan</v>
      </c>
      <c r="AO149" s="14">
        <f>$C$2</f>
        <v>0</v>
      </c>
      <c r="AP149" s="13" t="str">
        <f>$D$2</f>
        <v>chorak</v>
      </c>
      <c r="AQ149" s="14">
        <f>$E$2</f>
        <v>0</v>
      </c>
      <c r="AR149" s="13" t="str">
        <f>$F$2</f>
        <v xml:space="preserve">sinf </v>
      </c>
      <c r="AS149" s="14">
        <f>$G$2</f>
        <v>0</v>
      </c>
      <c r="AT149" s="15"/>
      <c r="AU149" s="15"/>
      <c r="AV149" s="15"/>
      <c r="AW149" s="15" t="b">
        <f>IF(MAX(AW153:AW192)&gt;40,50,IF(MAX(AW153:AW192)&gt;20,25,IF(MAX(AW153:AW192)&gt;15,20,IF(MAX(AW153:AW192)&gt;8,10))))</f>
        <v>0</v>
      </c>
      <c r="AX149" s="16" t="s">
        <v>20</v>
      </c>
      <c r="AY149" s="13" t="str">
        <f>$B$2</f>
        <v>fan</v>
      </c>
      <c r="AZ149" s="14">
        <f>$C$2</f>
        <v>0</v>
      </c>
      <c r="BA149" s="13" t="str">
        <f>$D$2</f>
        <v>chorak</v>
      </c>
      <c r="BB149" s="14">
        <f>$E$2</f>
        <v>0</v>
      </c>
      <c r="BC149" s="13" t="str">
        <f>$F$2</f>
        <v xml:space="preserve">sinf </v>
      </c>
      <c r="BD149" s="14">
        <f>$G$2</f>
        <v>0</v>
      </c>
      <c r="BE149" s="15"/>
      <c r="BF149" s="15"/>
      <c r="BG149" s="15"/>
      <c r="BH149" s="15" t="b">
        <f>IF(MAX(BH153:BH192)&gt;40,50,IF(MAX(BH153:BH192)&gt;20,25,IF(MAX(BH153:BH192)&gt;15,20,IF(MAX(BH153:BH192)&gt;8,10))))</f>
        <v>0</v>
      </c>
      <c r="BI149" s="16" t="s">
        <v>20</v>
      </c>
      <c r="BJ149" s="17" t="s">
        <v>16</v>
      </c>
      <c r="BK149" s="18">
        <f>$C$2</f>
        <v>0</v>
      </c>
      <c r="BL149" s="70" t="s">
        <v>0</v>
      </c>
      <c r="BM149" s="68"/>
      <c r="BN149" s="68"/>
      <c r="BO149" s="18">
        <f>$E$2</f>
        <v>0</v>
      </c>
      <c r="BP149" s="19"/>
      <c r="BQ149" s="17"/>
      <c r="BR149" s="70" t="s">
        <v>2</v>
      </c>
      <c r="BS149" s="68"/>
      <c r="BT149" s="70">
        <f>$G$2</f>
        <v>0</v>
      </c>
      <c r="BU149" s="68"/>
      <c r="BV149" s="68"/>
      <c r="BW149" s="18"/>
      <c r="BX149" s="19"/>
      <c r="BY149" s="17"/>
      <c r="BZ149" s="18"/>
      <c r="CA149" s="18">
        <v>40</v>
      </c>
      <c r="CB149" s="20" t="s">
        <v>20</v>
      </c>
      <c r="CC149" s="17" t="s">
        <v>16</v>
      </c>
      <c r="CD149" s="18">
        <f>$C$2</f>
        <v>0</v>
      </c>
      <c r="CE149" s="19" t="str">
        <f>"chorak: "&amp;$E$2</f>
        <v xml:space="preserve">chorak: </v>
      </c>
      <c r="CF149" s="18"/>
      <c r="CG149" s="19" t="str">
        <f>"sinf: "&amp; $G$2</f>
        <v xml:space="preserve">sinf: </v>
      </c>
      <c r="CH149" s="18">
        <v>40</v>
      </c>
      <c r="CI149" s="20" t="s">
        <v>20</v>
      </c>
    </row>
    <row r="150" spans="2:87" ht="18.75">
      <c r="B150" s="67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R150" s="67"/>
      <c r="S150" s="68"/>
      <c r="T150" s="68"/>
      <c r="U150" s="68"/>
      <c r="V150" s="68"/>
      <c r="W150" s="68"/>
      <c r="X150" s="68"/>
      <c r="Y150" s="68"/>
      <c r="Z150" s="68"/>
      <c r="AA150" s="68"/>
      <c r="AC150" s="67"/>
      <c r="AD150" s="68"/>
      <c r="AE150" s="68"/>
      <c r="AF150" s="68"/>
      <c r="AG150" s="68"/>
      <c r="AH150" s="68"/>
      <c r="AI150" s="68"/>
      <c r="AJ150" s="68"/>
      <c r="AK150" s="68"/>
      <c r="AL150" s="68"/>
      <c r="AN150" s="67"/>
      <c r="AO150" s="68"/>
      <c r="AP150" s="68"/>
      <c r="AQ150" s="68"/>
      <c r="AR150" s="68"/>
      <c r="AS150" s="68"/>
      <c r="AT150" s="68"/>
      <c r="AU150" s="68"/>
      <c r="AV150" s="68"/>
      <c r="AW150" s="68"/>
      <c r="AY150" s="67"/>
      <c r="AZ150" s="68"/>
      <c r="BA150" s="68"/>
      <c r="BB150" s="68"/>
      <c r="BC150" s="68"/>
      <c r="BD150" s="68"/>
      <c r="BE150" s="68"/>
      <c r="BF150" s="68"/>
      <c r="BG150" s="68"/>
      <c r="BH150" s="68"/>
      <c r="BJ150" s="67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C150" s="67"/>
      <c r="CD150" s="68"/>
      <c r="CE150" s="68"/>
      <c r="CF150" s="68"/>
      <c r="CG150" s="68"/>
      <c r="CH150" s="68"/>
    </row>
    <row r="151" spans="2:87" ht="18" customHeight="1">
      <c r="B151" s="71" t="s">
        <v>21</v>
      </c>
      <c r="C151" s="71" t="s">
        <v>22</v>
      </c>
      <c r="D151" s="71" t="s">
        <v>23</v>
      </c>
      <c r="E151" s="60"/>
      <c r="F151" s="60"/>
      <c r="G151" s="60"/>
      <c r="H151" s="60"/>
      <c r="I151" s="60"/>
      <c r="J151" s="58"/>
      <c r="K151" s="46"/>
      <c r="L151" s="46"/>
      <c r="M151" s="46"/>
      <c r="N151" s="46"/>
      <c r="O151" s="71" t="s">
        <v>24</v>
      </c>
      <c r="P151" s="72" t="s">
        <v>16</v>
      </c>
      <c r="Q151" s="74" t="str">
        <f>IF(ISBLANK(C149),"",C149)</f>
        <v/>
      </c>
      <c r="R151" s="66" t="s">
        <v>21</v>
      </c>
      <c r="S151" s="66" t="s">
        <v>22</v>
      </c>
      <c r="T151" s="62" t="s">
        <v>25</v>
      </c>
      <c r="U151" s="60"/>
      <c r="V151" s="60"/>
      <c r="W151" s="60"/>
      <c r="X151" s="60"/>
      <c r="Y151" s="60"/>
      <c r="Z151" s="60"/>
      <c r="AA151" s="63" t="s">
        <v>26</v>
      </c>
      <c r="AB151" s="65" t="s">
        <v>27</v>
      </c>
      <c r="AC151" s="66" t="s">
        <v>21</v>
      </c>
      <c r="AD151" s="66" t="s">
        <v>22</v>
      </c>
      <c r="AE151" s="62" t="s">
        <v>25</v>
      </c>
      <c r="AF151" s="60"/>
      <c r="AG151" s="60"/>
      <c r="AH151" s="60"/>
      <c r="AI151" s="60"/>
      <c r="AJ151" s="60"/>
      <c r="AK151" s="60"/>
      <c r="AL151" s="63" t="s">
        <v>26</v>
      </c>
      <c r="AM151" s="65" t="s">
        <v>27</v>
      </c>
      <c r="AN151" s="66" t="s">
        <v>21</v>
      </c>
      <c r="AO151" s="66" t="s">
        <v>22</v>
      </c>
      <c r="AP151" s="62" t="s">
        <v>25</v>
      </c>
      <c r="AQ151" s="60"/>
      <c r="AR151" s="60"/>
      <c r="AS151" s="60"/>
      <c r="AT151" s="60"/>
      <c r="AU151" s="60"/>
      <c r="AV151" s="60"/>
      <c r="AW151" s="63" t="s">
        <v>26</v>
      </c>
      <c r="AX151" s="65" t="s">
        <v>27</v>
      </c>
      <c r="AY151" s="66" t="s">
        <v>21</v>
      </c>
      <c r="AZ151" s="66" t="s">
        <v>22</v>
      </c>
      <c r="BA151" s="62" t="s">
        <v>25</v>
      </c>
      <c r="BB151" s="60"/>
      <c r="BC151" s="60"/>
      <c r="BD151" s="60"/>
      <c r="BE151" s="60"/>
      <c r="BF151" s="60"/>
      <c r="BG151" s="60"/>
      <c r="BH151" s="63" t="s">
        <v>26</v>
      </c>
      <c r="BI151" s="65" t="s">
        <v>27</v>
      </c>
      <c r="BJ151" s="61" t="s">
        <v>21</v>
      </c>
      <c r="BK151" s="61" t="s">
        <v>22</v>
      </c>
      <c r="BL151" s="61" t="s">
        <v>25</v>
      </c>
      <c r="BM151" s="60"/>
      <c r="BN151" s="60"/>
      <c r="BO151" s="60"/>
      <c r="BP151" s="60"/>
      <c r="BQ151" s="60"/>
      <c r="BR151" s="60"/>
      <c r="BS151" s="60"/>
      <c r="BT151" s="60"/>
      <c r="BU151" s="60"/>
      <c r="BV151" s="60"/>
      <c r="BW151" s="60"/>
      <c r="BX151" s="60"/>
      <c r="BY151" s="60"/>
      <c r="BZ151" s="58"/>
      <c r="CA151" s="61" t="s">
        <v>28</v>
      </c>
      <c r="CB151" s="55" t="s">
        <v>27</v>
      </c>
      <c r="CC151" s="61" t="s">
        <v>21</v>
      </c>
      <c r="CD151" s="61" t="s">
        <v>22</v>
      </c>
      <c r="CE151" s="59" t="s">
        <v>25</v>
      </c>
      <c r="CF151" s="60"/>
      <c r="CG151" s="60"/>
      <c r="CH151" s="61" t="s">
        <v>28</v>
      </c>
      <c r="CI151" s="55" t="s">
        <v>27</v>
      </c>
    </row>
    <row r="152" spans="2:87" ht="52.15" customHeight="1">
      <c r="B152" s="56"/>
      <c r="C152" s="56"/>
      <c r="D152" s="51" t="s">
        <v>29</v>
      </c>
      <c r="E152" s="51" t="s">
        <v>29</v>
      </c>
      <c r="F152" s="51" t="s">
        <v>29</v>
      </c>
      <c r="G152" s="51" t="s">
        <v>30</v>
      </c>
      <c r="H152" s="51" t="s">
        <v>31</v>
      </c>
      <c r="I152" s="51" t="s">
        <v>32</v>
      </c>
      <c r="J152" s="51" t="s">
        <v>33</v>
      </c>
      <c r="K152" s="51"/>
      <c r="L152" s="51"/>
      <c r="M152" s="51"/>
      <c r="N152" s="51" t="s">
        <v>34</v>
      </c>
      <c r="O152" s="56"/>
      <c r="P152" s="73"/>
      <c r="Q152" s="75"/>
      <c r="R152" s="56"/>
      <c r="S152" s="56"/>
      <c r="T152" s="21">
        <v>1</v>
      </c>
      <c r="U152" s="21">
        <v>2</v>
      </c>
      <c r="V152" s="21">
        <v>3</v>
      </c>
      <c r="W152" s="21">
        <v>4</v>
      </c>
      <c r="X152" s="21">
        <v>5</v>
      </c>
      <c r="Y152" s="21">
        <v>6</v>
      </c>
      <c r="Z152" s="21">
        <v>7</v>
      </c>
      <c r="AA152" s="64"/>
      <c r="AB152" s="56"/>
      <c r="AC152" s="56"/>
      <c r="AD152" s="56"/>
      <c r="AE152" s="21">
        <v>1</v>
      </c>
      <c r="AF152" s="21">
        <v>2</v>
      </c>
      <c r="AG152" s="21">
        <v>3</v>
      </c>
      <c r="AH152" s="21">
        <v>4</v>
      </c>
      <c r="AI152" s="21">
        <v>5</v>
      </c>
      <c r="AJ152" s="21">
        <v>6</v>
      </c>
      <c r="AK152" s="21">
        <v>7</v>
      </c>
      <c r="AL152" s="64"/>
      <c r="AM152" s="56"/>
      <c r="AN152" s="56"/>
      <c r="AO152" s="56"/>
      <c r="AP152" s="21">
        <v>1</v>
      </c>
      <c r="AQ152" s="21">
        <v>2</v>
      </c>
      <c r="AR152" s="21">
        <v>3</v>
      </c>
      <c r="AS152" s="21">
        <v>4</v>
      </c>
      <c r="AT152" s="21">
        <v>5</v>
      </c>
      <c r="AU152" s="21">
        <v>6</v>
      </c>
      <c r="AV152" s="21">
        <v>7</v>
      </c>
      <c r="AW152" s="64"/>
      <c r="AX152" s="56"/>
      <c r="AY152" s="56"/>
      <c r="AZ152" s="56"/>
      <c r="BA152" s="21">
        <v>1</v>
      </c>
      <c r="BB152" s="21">
        <v>2</v>
      </c>
      <c r="BC152" s="21">
        <v>3</v>
      </c>
      <c r="BD152" s="21">
        <v>4</v>
      </c>
      <c r="BE152" s="21">
        <v>5</v>
      </c>
      <c r="BF152" s="21">
        <v>6</v>
      </c>
      <c r="BG152" s="21">
        <v>7</v>
      </c>
      <c r="BH152" s="64"/>
      <c r="BI152" s="56"/>
      <c r="BJ152" s="56"/>
      <c r="BK152" s="56"/>
      <c r="BL152" s="22">
        <v>1</v>
      </c>
      <c r="BM152" s="22">
        <v>2</v>
      </c>
      <c r="BN152" s="22">
        <v>3</v>
      </c>
      <c r="BO152" s="22">
        <v>4</v>
      </c>
      <c r="BP152" s="22">
        <v>5</v>
      </c>
      <c r="BQ152" s="22">
        <v>6</v>
      </c>
      <c r="BR152" s="22">
        <v>7</v>
      </c>
      <c r="BS152" s="22">
        <v>8</v>
      </c>
      <c r="BT152" s="22">
        <v>9</v>
      </c>
      <c r="BU152" s="22">
        <v>10</v>
      </c>
      <c r="BV152" s="22">
        <v>11</v>
      </c>
      <c r="BW152" s="22">
        <v>12</v>
      </c>
      <c r="BX152" s="22">
        <v>13</v>
      </c>
      <c r="BY152" s="22">
        <v>14</v>
      </c>
      <c r="BZ152" s="22">
        <v>15</v>
      </c>
      <c r="CA152" s="56"/>
      <c r="CB152" s="56"/>
      <c r="CC152" s="56"/>
      <c r="CD152" s="56"/>
      <c r="CE152" s="22" t="s">
        <v>35</v>
      </c>
      <c r="CF152" s="22" t="s">
        <v>36</v>
      </c>
      <c r="CG152" s="22" t="s">
        <v>37</v>
      </c>
      <c r="CH152" s="56"/>
      <c r="CI152" s="56"/>
    </row>
    <row r="153" spans="2:87" ht="21.75" customHeight="1">
      <c r="B153" s="38">
        <v>1</v>
      </c>
      <c r="C153" s="41"/>
      <c r="D153" s="45"/>
      <c r="E153" s="45"/>
      <c r="F153" s="45"/>
      <c r="G153" s="45"/>
      <c r="H153" s="45"/>
      <c r="I153" s="45"/>
      <c r="J153" s="45"/>
      <c r="K153" s="53"/>
      <c r="L153" s="53"/>
      <c r="M153" s="53"/>
      <c r="N153" s="45"/>
      <c r="O153" s="45"/>
      <c r="P153" s="29" t="s">
        <v>10</v>
      </c>
      <c r="Q153" s="32" t="str">
        <f>IF(ISBLANK(G149),"",G149)</f>
        <v/>
      </c>
      <c r="R153" s="4">
        <f t="shared" ref="R153:R192" si="72">IF(ISBLANK($B153),"",$B153)</f>
        <v>1</v>
      </c>
      <c r="S153" s="1" t="str">
        <f t="shared" ref="S153:S192" si="73">IF(ISBLANK($C153),"",$C153)</f>
        <v/>
      </c>
      <c r="T153" s="4"/>
      <c r="U153" s="4"/>
      <c r="V153" s="4"/>
      <c r="W153" s="4"/>
      <c r="X153" s="4"/>
      <c r="Y153" s="4"/>
      <c r="Z153" s="4"/>
      <c r="AA153" s="2" t="str">
        <f t="shared" ref="AA153:AA192" si="74">IF(ISBLANK($D153),"",$D153)</f>
        <v/>
      </c>
      <c r="AB153" s="2" t="str">
        <f t="shared" ref="AB153:AB192" si="75">IF(OR(ISBLANK(AA153),AA153=""),"",AA153*100/AA$2)</f>
        <v/>
      </c>
      <c r="AC153" s="4">
        <f t="shared" ref="AC153:AC192" si="76">IF(ISBLANK($B153),"",$B153)</f>
        <v>1</v>
      </c>
      <c r="AD153" s="1" t="str">
        <f t="shared" ref="AD153:AD192" si="77">IF(ISBLANK($C153),"",$C153)</f>
        <v/>
      </c>
      <c r="AE153" s="4"/>
      <c r="AF153" s="4"/>
      <c r="AG153" s="4"/>
      <c r="AH153" s="4"/>
      <c r="AI153" s="4"/>
      <c r="AJ153" s="4"/>
      <c r="AK153" s="4"/>
      <c r="AL153" s="2" t="str">
        <f t="shared" ref="AL153:AL192" si="78">IF(ISBLANK($E153),"",$E153)</f>
        <v/>
      </c>
      <c r="AM153" s="2" t="str">
        <f t="shared" ref="AM153:AM192" si="79">IF(OR(ISBLANK(AL153),AL153=""),"",AL153*100/AL$2)</f>
        <v/>
      </c>
      <c r="AN153" s="4">
        <f t="shared" ref="AN153:AN192" si="80">IF(ISBLANK($B153),"",$B153)</f>
        <v>1</v>
      </c>
      <c r="AO153" s="1" t="str">
        <f t="shared" ref="AO153:AO192" si="81">IF(ISBLANK($C153),"",$C153)</f>
        <v/>
      </c>
      <c r="AP153" s="4"/>
      <c r="AQ153" s="4"/>
      <c r="AR153" s="4"/>
      <c r="AS153" s="4"/>
      <c r="AT153" s="4"/>
      <c r="AU153" s="4"/>
      <c r="AV153" s="4"/>
      <c r="AW153" s="2" t="str">
        <f t="shared" ref="AW153:AW192" si="82">IF(ISBLANK($F153),"",$F153)</f>
        <v/>
      </c>
      <c r="AX153" s="23" t="str">
        <f t="shared" ref="AX153:AX192" si="83">IF(OR(ISBLANK(AW153),AW153=""),"",AW153*100/AW$2)</f>
        <v/>
      </c>
      <c r="AY153" s="4">
        <f t="shared" ref="AY153:AY192" si="84">IF(ISBLANK($B153),"",$B153)</f>
        <v>1</v>
      </c>
      <c r="AZ153" s="1" t="str">
        <f t="shared" ref="AZ153:AZ192" si="85">IF(ISBLANK($C153),"",$C153)</f>
        <v/>
      </c>
      <c r="BA153" s="4"/>
      <c r="BB153" s="4"/>
      <c r="BC153" s="4"/>
      <c r="BD153" s="4"/>
      <c r="BE153" s="4"/>
      <c r="BF153" s="4"/>
      <c r="BG153" s="4"/>
      <c r="BH153" s="2" t="str">
        <f t="shared" ref="BH153:BH192" si="86">IF(ISBLANK($G153),"",$G153)</f>
        <v/>
      </c>
      <c r="BI153" s="2" t="str">
        <f t="shared" ref="BI153:BI192" si="87">IF(OR(ISBLANK(BH153),BH153=""),"",BH153*100/BH$2)</f>
        <v/>
      </c>
      <c r="BJ153" s="4">
        <f t="shared" ref="BJ153:BJ192" si="88">IF(ISBLANK($B153),"",$B153)</f>
        <v>1</v>
      </c>
      <c r="BK153" s="1" t="str">
        <f t="shared" ref="BK153:BK192" si="89">IF(ISBLANK($C153),"",$C153)</f>
        <v/>
      </c>
      <c r="BL153" s="23"/>
      <c r="BM153" s="23"/>
      <c r="BN153" s="23"/>
      <c r="BO153" s="4"/>
      <c r="BP153" s="24"/>
      <c r="BQ153" s="23"/>
      <c r="BR153" s="4"/>
      <c r="BS153" s="24"/>
      <c r="BT153" s="23"/>
      <c r="BU153" s="23"/>
      <c r="BV153" s="23"/>
      <c r="BW153" s="4"/>
      <c r="BX153" s="24"/>
      <c r="BY153" s="23"/>
      <c r="BZ153" s="4"/>
      <c r="CA153" s="2" t="str">
        <f t="shared" ref="CA153:CA192" si="90">IF(ISBLANK($I153),"",$I153)</f>
        <v/>
      </c>
      <c r="CB153" s="2" t="str">
        <f t="shared" ref="CB153:CB190" si="91">IF(OR(ISBLANK(CA153),CA153=""),"",CA153*100/CA$2)</f>
        <v/>
      </c>
      <c r="CC153" s="4">
        <f t="shared" ref="CC153:CC192" si="92">IF(ISBLANK($B153),"",$B153)</f>
        <v>1</v>
      </c>
      <c r="CD153" s="1" t="str">
        <f t="shared" ref="CD153:CD192" si="93">IF(ISBLANK($C153),"",$C153)</f>
        <v/>
      </c>
      <c r="CE153" s="23"/>
      <c r="CF153" s="4"/>
      <c r="CG153" s="4"/>
      <c r="CH153" s="2" t="str">
        <f t="shared" ref="CH153:CH192" si="94">IF(ISBLANK($I153),"",$I153)</f>
        <v/>
      </c>
      <c r="CI153" s="2" t="str">
        <f t="shared" ref="CI153:CI190" si="95">IF(OR(ISBLANK(CH153),CH153=""),"",CH153*100/CH$2)</f>
        <v/>
      </c>
    </row>
    <row r="154" spans="2:87" ht="21.75" customHeight="1">
      <c r="B154" s="38">
        <v>2</v>
      </c>
      <c r="C154" s="41"/>
      <c r="D154" s="45"/>
      <c r="E154" s="45"/>
      <c r="F154" s="45"/>
      <c r="G154" s="45"/>
      <c r="H154" s="45"/>
      <c r="I154" s="45"/>
      <c r="J154" s="45"/>
      <c r="K154" s="53"/>
      <c r="L154" s="53"/>
      <c r="M154" s="53"/>
      <c r="N154" s="45"/>
      <c r="O154" s="45"/>
      <c r="P154" s="29" t="s">
        <v>11</v>
      </c>
      <c r="Q154" s="32">
        <v>4</v>
      </c>
      <c r="R154" s="4">
        <f t="shared" si="72"/>
        <v>2</v>
      </c>
      <c r="S154" s="1" t="str">
        <f t="shared" si="73"/>
        <v/>
      </c>
      <c r="T154" s="4"/>
      <c r="U154" s="4"/>
      <c r="V154" s="4"/>
      <c r="W154" s="4"/>
      <c r="X154" s="4"/>
      <c r="Y154" s="4"/>
      <c r="Z154" s="4"/>
      <c r="AA154" s="2" t="str">
        <f t="shared" si="74"/>
        <v/>
      </c>
      <c r="AB154" s="2" t="str">
        <f t="shared" si="75"/>
        <v/>
      </c>
      <c r="AC154" s="4">
        <f t="shared" si="76"/>
        <v>2</v>
      </c>
      <c r="AD154" s="1" t="str">
        <f t="shared" si="77"/>
        <v/>
      </c>
      <c r="AE154" s="4"/>
      <c r="AF154" s="4"/>
      <c r="AG154" s="4"/>
      <c r="AH154" s="4"/>
      <c r="AI154" s="4"/>
      <c r="AJ154" s="4"/>
      <c r="AK154" s="4"/>
      <c r="AL154" s="2" t="str">
        <f t="shared" si="78"/>
        <v/>
      </c>
      <c r="AM154" s="2" t="str">
        <f t="shared" si="79"/>
        <v/>
      </c>
      <c r="AN154" s="4">
        <f t="shared" si="80"/>
        <v>2</v>
      </c>
      <c r="AO154" s="1" t="str">
        <f t="shared" si="81"/>
        <v/>
      </c>
      <c r="AP154" s="4"/>
      <c r="AQ154" s="4"/>
      <c r="AR154" s="4"/>
      <c r="AS154" s="4"/>
      <c r="AT154" s="4"/>
      <c r="AU154" s="4"/>
      <c r="AV154" s="4"/>
      <c r="AW154" s="2" t="str">
        <f t="shared" si="82"/>
        <v/>
      </c>
      <c r="AX154" s="23" t="str">
        <f t="shared" si="83"/>
        <v/>
      </c>
      <c r="AY154" s="4">
        <f t="shared" si="84"/>
        <v>2</v>
      </c>
      <c r="AZ154" s="1" t="str">
        <f t="shared" si="85"/>
        <v/>
      </c>
      <c r="BA154" s="4"/>
      <c r="BB154" s="4"/>
      <c r="BC154" s="4"/>
      <c r="BD154" s="4"/>
      <c r="BE154" s="4"/>
      <c r="BF154" s="4"/>
      <c r="BG154" s="4"/>
      <c r="BH154" s="2" t="str">
        <f t="shared" si="86"/>
        <v/>
      </c>
      <c r="BI154" s="2" t="str">
        <f t="shared" si="87"/>
        <v/>
      </c>
      <c r="BJ154" s="4">
        <f t="shared" si="88"/>
        <v>2</v>
      </c>
      <c r="BK154" s="1" t="str">
        <f t="shared" si="89"/>
        <v/>
      </c>
      <c r="BL154" s="23"/>
      <c r="BM154" s="23"/>
      <c r="BN154" s="23"/>
      <c r="BO154" s="4"/>
      <c r="BP154" s="24"/>
      <c r="BQ154" s="23"/>
      <c r="BR154" s="4"/>
      <c r="BS154" s="24"/>
      <c r="BT154" s="23"/>
      <c r="BU154" s="23"/>
      <c r="BV154" s="23"/>
      <c r="BW154" s="4"/>
      <c r="BX154" s="24"/>
      <c r="BY154" s="23"/>
      <c r="BZ154" s="4"/>
      <c r="CA154" s="2" t="str">
        <f t="shared" si="90"/>
        <v/>
      </c>
      <c r="CB154" s="2" t="str">
        <f t="shared" si="91"/>
        <v/>
      </c>
      <c r="CC154" s="4">
        <f t="shared" si="92"/>
        <v>2</v>
      </c>
      <c r="CD154" s="1" t="str">
        <f t="shared" si="93"/>
        <v/>
      </c>
      <c r="CE154" s="23"/>
      <c r="CF154" s="4"/>
      <c r="CG154" s="4"/>
      <c r="CH154" s="2" t="str">
        <f t="shared" si="94"/>
        <v/>
      </c>
      <c r="CI154" s="2" t="str">
        <f t="shared" si="95"/>
        <v/>
      </c>
    </row>
    <row r="155" spans="2:87" ht="21.75" customHeight="1">
      <c r="B155" s="38">
        <v>3</v>
      </c>
      <c r="C155" s="41"/>
      <c r="D155" s="45"/>
      <c r="E155" s="45"/>
      <c r="F155" s="45"/>
      <c r="G155" s="45"/>
      <c r="H155" s="45"/>
      <c r="I155" s="45"/>
      <c r="J155" s="45"/>
      <c r="K155" s="53"/>
      <c r="L155" s="53"/>
      <c r="M155" s="53"/>
      <c r="N155" s="45"/>
      <c r="O155" s="45"/>
      <c r="P155" s="30" t="s">
        <v>38</v>
      </c>
      <c r="Q155" s="33" t="str">
        <f>IF(ISBLANK(C153),"",AVERAGE(J153:J192))</f>
        <v/>
      </c>
      <c r="R155" s="4">
        <f t="shared" si="72"/>
        <v>3</v>
      </c>
      <c r="S155" s="1" t="str">
        <f t="shared" si="73"/>
        <v/>
      </c>
      <c r="T155" s="4"/>
      <c r="U155" s="4"/>
      <c r="V155" s="4"/>
      <c r="W155" s="4"/>
      <c r="X155" s="4"/>
      <c r="Y155" s="4"/>
      <c r="Z155" s="4"/>
      <c r="AA155" s="2" t="str">
        <f t="shared" si="74"/>
        <v/>
      </c>
      <c r="AB155" s="2" t="str">
        <f t="shared" si="75"/>
        <v/>
      </c>
      <c r="AC155" s="4">
        <f t="shared" si="76"/>
        <v>3</v>
      </c>
      <c r="AD155" s="1" t="str">
        <f t="shared" si="77"/>
        <v/>
      </c>
      <c r="AE155" s="4"/>
      <c r="AF155" s="4"/>
      <c r="AG155" s="4"/>
      <c r="AH155" s="4"/>
      <c r="AI155" s="4"/>
      <c r="AJ155" s="4"/>
      <c r="AK155" s="4"/>
      <c r="AL155" s="2" t="str">
        <f t="shared" si="78"/>
        <v/>
      </c>
      <c r="AM155" s="2" t="str">
        <f t="shared" si="79"/>
        <v/>
      </c>
      <c r="AN155" s="4">
        <f t="shared" si="80"/>
        <v>3</v>
      </c>
      <c r="AO155" s="1" t="str">
        <f t="shared" si="81"/>
        <v/>
      </c>
      <c r="AP155" s="4"/>
      <c r="AQ155" s="4"/>
      <c r="AR155" s="4"/>
      <c r="AS155" s="4"/>
      <c r="AT155" s="4"/>
      <c r="AU155" s="4"/>
      <c r="AV155" s="4"/>
      <c r="AW155" s="2" t="str">
        <f t="shared" si="82"/>
        <v/>
      </c>
      <c r="AX155" s="23" t="str">
        <f t="shared" si="83"/>
        <v/>
      </c>
      <c r="AY155" s="4">
        <f t="shared" si="84"/>
        <v>3</v>
      </c>
      <c r="AZ155" s="1" t="str">
        <f t="shared" si="85"/>
        <v/>
      </c>
      <c r="BA155" s="4"/>
      <c r="BB155" s="4"/>
      <c r="BC155" s="4"/>
      <c r="BD155" s="4"/>
      <c r="BE155" s="4"/>
      <c r="BF155" s="4"/>
      <c r="BG155" s="4"/>
      <c r="BH155" s="2" t="str">
        <f t="shared" si="86"/>
        <v/>
      </c>
      <c r="BI155" s="2" t="str">
        <f t="shared" si="87"/>
        <v/>
      </c>
      <c r="BJ155" s="4">
        <f t="shared" si="88"/>
        <v>3</v>
      </c>
      <c r="BK155" s="1" t="str">
        <f t="shared" si="89"/>
        <v/>
      </c>
      <c r="BL155" s="23"/>
      <c r="BM155" s="23"/>
      <c r="BN155" s="23"/>
      <c r="BO155" s="4"/>
      <c r="BP155" s="24"/>
      <c r="BQ155" s="23"/>
      <c r="BR155" s="4"/>
      <c r="BS155" s="24"/>
      <c r="BT155" s="23"/>
      <c r="BU155" s="23"/>
      <c r="BV155" s="23"/>
      <c r="BW155" s="4"/>
      <c r="BX155" s="24"/>
      <c r="BY155" s="23"/>
      <c r="BZ155" s="4"/>
      <c r="CA155" s="2" t="str">
        <f t="shared" si="90"/>
        <v/>
      </c>
      <c r="CB155" s="2" t="str">
        <f t="shared" si="91"/>
        <v/>
      </c>
      <c r="CC155" s="4">
        <f t="shared" si="92"/>
        <v>3</v>
      </c>
      <c r="CD155" s="1" t="str">
        <f t="shared" si="93"/>
        <v/>
      </c>
      <c r="CE155" s="23"/>
      <c r="CF155" s="4"/>
      <c r="CG155" s="4"/>
      <c r="CH155" s="2" t="str">
        <f t="shared" si="94"/>
        <v/>
      </c>
      <c r="CI155" s="2" t="str">
        <f t="shared" si="95"/>
        <v/>
      </c>
    </row>
    <row r="156" spans="2:87" ht="21.75" customHeight="1">
      <c r="B156" s="38">
        <v>4</v>
      </c>
      <c r="C156" s="41"/>
      <c r="D156" s="45"/>
      <c r="E156" s="45"/>
      <c r="F156" s="45"/>
      <c r="G156" s="45"/>
      <c r="H156" s="45"/>
      <c r="I156" s="45"/>
      <c r="J156" s="45"/>
      <c r="K156" s="53"/>
      <c r="L156" s="53"/>
      <c r="M156" s="53"/>
      <c r="N156" s="45"/>
      <c r="O156" s="45"/>
      <c r="P156" s="30" t="s">
        <v>42</v>
      </c>
      <c r="Q156" s="32" t="str">
        <f>IF(ISBLANK(C153),"",COUNTIF(O153:O192,5))</f>
        <v/>
      </c>
      <c r="R156" s="4">
        <f t="shared" si="72"/>
        <v>4</v>
      </c>
      <c r="S156" s="1" t="str">
        <f t="shared" si="73"/>
        <v/>
      </c>
      <c r="T156" s="4"/>
      <c r="U156" s="4"/>
      <c r="V156" s="4"/>
      <c r="W156" s="4"/>
      <c r="X156" s="4"/>
      <c r="Y156" s="4"/>
      <c r="Z156" s="4"/>
      <c r="AA156" s="2" t="str">
        <f t="shared" si="74"/>
        <v/>
      </c>
      <c r="AB156" s="2" t="str">
        <f t="shared" si="75"/>
        <v/>
      </c>
      <c r="AC156" s="4">
        <f t="shared" si="76"/>
        <v>4</v>
      </c>
      <c r="AD156" s="1" t="str">
        <f t="shared" si="77"/>
        <v/>
      </c>
      <c r="AE156" s="4"/>
      <c r="AF156" s="4"/>
      <c r="AG156" s="4"/>
      <c r="AH156" s="4"/>
      <c r="AI156" s="4"/>
      <c r="AJ156" s="4"/>
      <c r="AK156" s="4"/>
      <c r="AL156" s="2" t="str">
        <f t="shared" si="78"/>
        <v/>
      </c>
      <c r="AM156" s="2" t="str">
        <f t="shared" si="79"/>
        <v/>
      </c>
      <c r="AN156" s="4">
        <f t="shared" si="80"/>
        <v>4</v>
      </c>
      <c r="AO156" s="1" t="str">
        <f t="shared" si="81"/>
        <v/>
      </c>
      <c r="AP156" s="4"/>
      <c r="AQ156" s="4"/>
      <c r="AR156" s="4"/>
      <c r="AS156" s="4"/>
      <c r="AT156" s="4"/>
      <c r="AU156" s="4"/>
      <c r="AV156" s="4"/>
      <c r="AW156" s="2" t="str">
        <f t="shared" si="82"/>
        <v/>
      </c>
      <c r="AX156" s="23" t="str">
        <f t="shared" si="83"/>
        <v/>
      </c>
      <c r="AY156" s="4">
        <f t="shared" si="84"/>
        <v>4</v>
      </c>
      <c r="AZ156" s="1" t="str">
        <f t="shared" si="85"/>
        <v/>
      </c>
      <c r="BA156" s="4"/>
      <c r="BB156" s="4"/>
      <c r="BC156" s="4"/>
      <c r="BD156" s="4"/>
      <c r="BE156" s="4"/>
      <c r="BF156" s="4"/>
      <c r="BG156" s="4"/>
      <c r="BH156" s="2" t="str">
        <f t="shared" si="86"/>
        <v/>
      </c>
      <c r="BI156" s="2" t="str">
        <f t="shared" si="87"/>
        <v/>
      </c>
      <c r="BJ156" s="4">
        <f t="shared" si="88"/>
        <v>4</v>
      </c>
      <c r="BK156" s="1" t="str">
        <f t="shared" si="89"/>
        <v/>
      </c>
      <c r="BL156" s="23"/>
      <c r="BM156" s="23"/>
      <c r="BN156" s="23"/>
      <c r="BO156" s="4"/>
      <c r="BP156" s="24"/>
      <c r="BQ156" s="23"/>
      <c r="BR156" s="4"/>
      <c r="BS156" s="24"/>
      <c r="BT156" s="23"/>
      <c r="BU156" s="23"/>
      <c r="BV156" s="23"/>
      <c r="BW156" s="4"/>
      <c r="BX156" s="24"/>
      <c r="BY156" s="23"/>
      <c r="BZ156" s="4"/>
      <c r="CA156" s="2" t="str">
        <f t="shared" si="90"/>
        <v/>
      </c>
      <c r="CB156" s="2" t="str">
        <f t="shared" si="91"/>
        <v/>
      </c>
      <c r="CC156" s="4">
        <f t="shared" si="92"/>
        <v>4</v>
      </c>
      <c r="CD156" s="1" t="str">
        <f t="shared" si="93"/>
        <v/>
      </c>
      <c r="CE156" s="23"/>
      <c r="CF156" s="4"/>
      <c r="CG156" s="4"/>
      <c r="CH156" s="2" t="str">
        <f t="shared" si="94"/>
        <v/>
      </c>
      <c r="CI156" s="2" t="str">
        <f t="shared" si="95"/>
        <v/>
      </c>
    </row>
    <row r="157" spans="2:87" ht="21.75" customHeight="1">
      <c r="B157" s="38">
        <v>5</v>
      </c>
      <c r="C157" s="41"/>
      <c r="D157" s="45"/>
      <c r="E157" s="45"/>
      <c r="F157" s="45"/>
      <c r="G157" s="45"/>
      <c r="H157" s="45"/>
      <c r="I157" s="45"/>
      <c r="J157" s="45"/>
      <c r="K157" s="53"/>
      <c r="L157" s="53"/>
      <c r="M157" s="53"/>
      <c r="N157" s="45"/>
      <c r="O157" s="45"/>
      <c r="P157" s="30" t="s">
        <v>43</v>
      </c>
      <c r="Q157" s="32" t="str">
        <f>IF(ISBLANK(C153),"",COUNTIF(O153:O192,4))</f>
        <v/>
      </c>
      <c r="R157" s="4">
        <f t="shared" si="72"/>
        <v>5</v>
      </c>
      <c r="S157" s="1" t="str">
        <f t="shared" si="73"/>
        <v/>
      </c>
      <c r="T157" s="4"/>
      <c r="U157" s="4"/>
      <c r="V157" s="4"/>
      <c r="W157" s="4"/>
      <c r="X157" s="4"/>
      <c r="Y157" s="4"/>
      <c r="Z157" s="4"/>
      <c r="AA157" s="2" t="str">
        <f t="shared" si="74"/>
        <v/>
      </c>
      <c r="AB157" s="2" t="str">
        <f t="shared" si="75"/>
        <v/>
      </c>
      <c r="AC157" s="4">
        <f t="shared" si="76"/>
        <v>5</v>
      </c>
      <c r="AD157" s="1" t="str">
        <f t="shared" si="77"/>
        <v/>
      </c>
      <c r="AE157" s="4"/>
      <c r="AF157" s="4"/>
      <c r="AG157" s="4"/>
      <c r="AH157" s="4"/>
      <c r="AI157" s="4"/>
      <c r="AJ157" s="4"/>
      <c r="AK157" s="4"/>
      <c r="AL157" s="2" t="str">
        <f t="shared" si="78"/>
        <v/>
      </c>
      <c r="AM157" s="2" t="str">
        <f t="shared" si="79"/>
        <v/>
      </c>
      <c r="AN157" s="4">
        <f t="shared" si="80"/>
        <v>5</v>
      </c>
      <c r="AO157" s="1" t="str">
        <f t="shared" si="81"/>
        <v/>
      </c>
      <c r="AP157" s="4"/>
      <c r="AQ157" s="4"/>
      <c r="AR157" s="4"/>
      <c r="AS157" s="4"/>
      <c r="AT157" s="4"/>
      <c r="AU157" s="4"/>
      <c r="AV157" s="4"/>
      <c r="AW157" s="2" t="str">
        <f t="shared" si="82"/>
        <v/>
      </c>
      <c r="AX157" s="23" t="str">
        <f t="shared" si="83"/>
        <v/>
      </c>
      <c r="AY157" s="4">
        <f t="shared" si="84"/>
        <v>5</v>
      </c>
      <c r="AZ157" s="1" t="str">
        <f t="shared" si="85"/>
        <v/>
      </c>
      <c r="BA157" s="4"/>
      <c r="BB157" s="4"/>
      <c r="BC157" s="4"/>
      <c r="BD157" s="4"/>
      <c r="BE157" s="4"/>
      <c r="BF157" s="4"/>
      <c r="BG157" s="4"/>
      <c r="BH157" s="2" t="str">
        <f t="shared" si="86"/>
        <v/>
      </c>
      <c r="BI157" s="2" t="str">
        <f t="shared" si="87"/>
        <v/>
      </c>
      <c r="BJ157" s="4">
        <f t="shared" si="88"/>
        <v>5</v>
      </c>
      <c r="BK157" s="1" t="str">
        <f t="shared" si="89"/>
        <v/>
      </c>
      <c r="BL157" s="23"/>
      <c r="BM157" s="23"/>
      <c r="BN157" s="23"/>
      <c r="BO157" s="4"/>
      <c r="BP157" s="24"/>
      <c r="BQ157" s="23"/>
      <c r="BR157" s="4"/>
      <c r="BS157" s="24"/>
      <c r="BT157" s="23"/>
      <c r="BU157" s="23"/>
      <c r="BV157" s="23"/>
      <c r="BW157" s="4"/>
      <c r="BX157" s="24"/>
      <c r="BY157" s="23"/>
      <c r="BZ157" s="4"/>
      <c r="CA157" s="2" t="str">
        <f t="shared" si="90"/>
        <v/>
      </c>
      <c r="CB157" s="2" t="str">
        <f t="shared" si="91"/>
        <v/>
      </c>
      <c r="CC157" s="4">
        <f t="shared" si="92"/>
        <v>5</v>
      </c>
      <c r="CD157" s="1" t="str">
        <f t="shared" si="93"/>
        <v/>
      </c>
      <c r="CE157" s="23"/>
      <c r="CF157" s="4"/>
      <c r="CG157" s="4"/>
      <c r="CH157" s="2" t="str">
        <f t="shared" si="94"/>
        <v/>
      </c>
      <c r="CI157" s="2" t="str">
        <f t="shared" si="95"/>
        <v/>
      </c>
    </row>
    <row r="158" spans="2:87" ht="21.75" customHeight="1">
      <c r="B158" s="38">
        <v>6</v>
      </c>
      <c r="C158" s="41"/>
      <c r="D158" s="45"/>
      <c r="E158" s="45"/>
      <c r="F158" s="45"/>
      <c r="G158" s="45"/>
      <c r="H158" s="45"/>
      <c r="I158" s="45"/>
      <c r="J158" s="45"/>
      <c r="K158" s="53"/>
      <c r="L158" s="53"/>
      <c r="M158" s="53"/>
      <c r="N158" s="45"/>
      <c r="O158" s="45"/>
      <c r="P158" s="30" t="s">
        <v>44</v>
      </c>
      <c r="Q158" s="32" t="str">
        <f>IF(ISBLANK(C153),"",COUNTIF(O153:O192,3))</f>
        <v/>
      </c>
      <c r="R158" s="4">
        <f t="shared" si="72"/>
        <v>6</v>
      </c>
      <c r="S158" s="1" t="str">
        <f t="shared" si="73"/>
        <v/>
      </c>
      <c r="T158" s="4"/>
      <c r="U158" s="4"/>
      <c r="V158" s="4"/>
      <c r="W158" s="4"/>
      <c r="X158" s="4"/>
      <c r="Y158" s="4"/>
      <c r="Z158" s="4"/>
      <c r="AA158" s="2" t="str">
        <f t="shared" si="74"/>
        <v/>
      </c>
      <c r="AB158" s="2" t="str">
        <f t="shared" si="75"/>
        <v/>
      </c>
      <c r="AC158" s="4">
        <f t="shared" si="76"/>
        <v>6</v>
      </c>
      <c r="AD158" s="1" t="str">
        <f t="shared" si="77"/>
        <v/>
      </c>
      <c r="AE158" s="4"/>
      <c r="AF158" s="4"/>
      <c r="AG158" s="4"/>
      <c r="AH158" s="4"/>
      <c r="AI158" s="4"/>
      <c r="AJ158" s="4"/>
      <c r="AK158" s="4"/>
      <c r="AL158" s="2" t="str">
        <f t="shared" si="78"/>
        <v/>
      </c>
      <c r="AM158" s="2" t="str">
        <f t="shared" si="79"/>
        <v/>
      </c>
      <c r="AN158" s="4">
        <f t="shared" si="80"/>
        <v>6</v>
      </c>
      <c r="AO158" s="1" t="str">
        <f t="shared" si="81"/>
        <v/>
      </c>
      <c r="AP158" s="4"/>
      <c r="AQ158" s="4"/>
      <c r="AR158" s="4"/>
      <c r="AS158" s="4"/>
      <c r="AT158" s="4"/>
      <c r="AU158" s="4"/>
      <c r="AV158" s="4"/>
      <c r="AW158" s="2" t="str">
        <f t="shared" si="82"/>
        <v/>
      </c>
      <c r="AX158" s="23" t="str">
        <f t="shared" si="83"/>
        <v/>
      </c>
      <c r="AY158" s="4">
        <f t="shared" si="84"/>
        <v>6</v>
      </c>
      <c r="AZ158" s="1" t="str">
        <f t="shared" si="85"/>
        <v/>
      </c>
      <c r="BA158" s="4"/>
      <c r="BB158" s="4"/>
      <c r="BC158" s="4"/>
      <c r="BD158" s="4"/>
      <c r="BE158" s="4"/>
      <c r="BF158" s="4"/>
      <c r="BG158" s="4"/>
      <c r="BH158" s="2" t="str">
        <f t="shared" si="86"/>
        <v/>
      </c>
      <c r="BI158" s="2" t="str">
        <f t="shared" si="87"/>
        <v/>
      </c>
      <c r="BJ158" s="4">
        <f t="shared" si="88"/>
        <v>6</v>
      </c>
      <c r="BK158" s="1" t="str">
        <f t="shared" si="89"/>
        <v/>
      </c>
      <c r="BL158" s="23"/>
      <c r="BM158" s="23"/>
      <c r="BN158" s="23"/>
      <c r="BO158" s="4"/>
      <c r="BP158" s="24"/>
      <c r="BQ158" s="23"/>
      <c r="BR158" s="4"/>
      <c r="BS158" s="24"/>
      <c r="BT158" s="23"/>
      <c r="BU158" s="23"/>
      <c r="BV158" s="23"/>
      <c r="BW158" s="4"/>
      <c r="BX158" s="24"/>
      <c r="BY158" s="23"/>
      <c r="BZ158" s="4"/>
      <c r="CA158" s="2" t="str">
        <f t="shared" si="90"/>
        <v/>
      </c>
      <c r="CB158" s="2" t="str">
        <f t="shared" si="91"/>
        <v/>
      </c>
      <c r="CC158" s="4">
        <f t="shared" si="92"/>
        <v>6</v>
      </c>
      <c r="CD158" s="1" t="str">
        <f t="shared" si="93"/>
        <v/>
      </c>
      <c r="CE158" s="23"/>
      <c r="CF158" s="4"/>
      <c r="CG158" s="4"/>
      <c r="CH158" s="2" t="str">
        <f t="shared" si="94"/>
        <v/>
      </c>
      <c r="CI158" s="2" t="str">
        <f t="shared" si="95"/>
        <v/>
      </c>
    </row>
    <row r="159" spans="2:87" ht="21.75" customHeight="1">
      <c r="B159" s="38">
        <v>7</v>
      </c>
      <c r="C159" s="41"/>
      <c r="D159" s="45"/>
      <c r="E159" s="45"/>
      <c r="F159" s="45"/>
      <c r="G159" s="45"/>
      <c r="H159" s="45"/>
      <c r="I159" s="45"/>
      <c r="J159" s="45"/>
      <c r="K159" s="53"/>
      <c r="L159" s="53"/>
      <c r="M159" s="53"/>
      <c r="N159" s="45"/>
      <c r="O159" s="45"/>
      <c r="P159" s="30" t="s">
        <v>45</v>
      </c>
      <c r="Q159" s="32" t="str">
        <f>IF(ISBLANK(C153),"",MAX(J153:J192))</f>
        <v/>
      </c>
      <c r="R159" s="4">
        <f t="shared" si="72"/>
        <v>7</v>
      </c>
      <c r="S159" s="1" t="str">
        <f t="shared" si="73"/>
        <v/>
      </c>
      <c r="T159" s="4"/>
      <c r="U159" s="4"/>
      <c r="V159" s="4"/>
      <c r="W159" s="4"/>
      <c r="X159" s="4"/>
      <c r="Y159" s="4"/>
      <c r="Z159" s="4"/>
      <c r="AA159" s="2" t="str">
        <f t="shared" si="74"/>
        <v/>
      </c>
      <c r="AB159" s="2" t="str">
        <f t="shared" si="75"/>
        <v/>
      </c>
      <c r="AC159" s="4">
        <f t="shared" si="76"/>
        <v>7</v>
      </c>
      <c r="AD159" s="1" t="str">
        <f t="shared" si="77"/>
        <v/>
      </c>
      <c r="AE159" s="4"/>
      <c r="AF159" s="4"/>
      <c r="AG159" s="4"/>
      <c r="AH159" s="4"/>
      <c r="AI159" s="4"/>
      <c r="AJ159" s="4"/>
      <c r="AK159" s="4"/>
      <c r="AL159" s="2" t="str">
        <f t="shared" si="78"/>
        <v/>
      </c>
      <c r="AM159" s="2" t="str">
        <f t="shared" si="79"/>
        <v/>
      </c>
      <c r="AN159" s="4">
        <f t="shared" si="80"/>
        <v>7</v>
      </c>
      <c r="AO159" s="1" t="str">
        <f t="shared" si="81"/>
        <v/>
      </c>
      <c r="AP159" s="4"/>
      <c r="AQ159" s="4"/>
      <c r="AR159" s="4"/>
      <c r="AS159" s="4"/>
      <c r="AT159" s="4"/>
      <c r="AU159" s="4"/>
      <c r="AV159" s="4"/>
      <c r="AW159" s="2" t="str">
        <f t="shared" si="82"/>
        <v/>
      </c>
      <c r="AX159" s="23" t="str">
        <f t="shared" si="83"/>
        <v/>
      </c>
      <c r="AY159" s="4">
        <f t="shared" si="84"/>
        <v>7</v>
      </c>
      <c r="AZ159" s="1" t="str">
        <f t="shared" si="85"/>
        <v/>
      </c>
      <c r="BA159" s="4"/>
      <c r="BB159" s="4"/>
      <c r="BC159" s="4"/>
      <c r="BD159" s="4"/>
      <c r="BE159" s="4"/>
      <c r="BF159" s="4"/>
      <c r="BG159" s="4"/>
      <c r="BH159" s="2" t="str">
        <f t="shared" si="86"/>
        <v/>
      </c>
      <c r="BI159" s="2" t="str">
        <f t="shared" si="87"/>
        <v/>
      </c>
      <c r="BJ159" s="4">
        <f t="shared" si="88"/>
        <v>7</v>
      </c>
      <c r="BK159" s="1" t="str">
        <f t="shared" si="89"/>
        <v/>
      </c>
      <c r="BL159" s="23"/>
      <c r="BM159" s="23"/>
      <c r="BN159" s="23"/>
      <c r="BO159" s="4"/>
      <c r="BP159" s="24"/>
      <c r="BQ159" s="23"/>
      <c r="BR159" s="4"/>
      <c r="BS159" s="24"/>
      <c r="BT159" s="23"/>
      <c r="BU159" s="23"/>
      <c r="BV159" s="23"/>
      <c r="BW159" s="4"/>
      <c r="BX159" s="24"/>
      <c r="BY159" s="23"/>
      <c r="BZ159" s="4"/>
      <c r="CA159" s="2" t="str">
        <f t="shared" si="90"/>
        <v/>
      </c>
      <c r="CB159" s="2" t="str">
        <f t="shared" si="91"/>
        <v/>
      </c>
      <c r="CC159" s="4">
        <f t="shared" si="92"/>
        <v>7</v>
      </c>
      <c r="CD159" s="1" t="str">
        <f t="shared" si="93"/>
        <v/>
      </c>
      <c r="CE159" s="23"/>
      <c r="CF159" s="4"/>
      <c r="CG159" s="4"/>
      <c r="CH159" s="2" t="str">
        <f t="shared" si="94"/>
        <v/>
      </c>
      <c r="CI159" s="2" t="str">
        <f t="shared" si="95"/>
        <v/>
      </c>
    </row>
    <row r="160" spans="2:87" ht="21.75" customHeight="1" thickBot="1">
      <c r="B160" s="38">
        <v>8</v>
      </c>
      <c r="C160" s="41"/>
      <c r="D160" s="45"/>
      <c r="E160" s="45"/>
      <c r="F160" s="45"/>
      <c r="G160" s="45"/>
      <c r="H160" s="45"/>
      <c r="I160" s="45"/>
      <c r="J160" s="45"/>
      <c r="K160" s="53"/>
      <c r="L160" s="53"/>
      <c r="M160" s="53"/>
      <c r="N160" s="45"/>
      <c r="O160" s="45"/>
      <c r="P160" s="31" t="s">
        <v>46</v>
      </c>
      <c r="Q160" s="34" t="str">
        <f>IF(ISBLANK(C153),"",MIN(J153:J192))</f>
        <v/>
      </c>
      <c r="R160" s="4">
        <f t="shared" si="72"/>
        <v>8</v>
      </c>
      <c r="S160" s="1" t="str">
        <f t="shared" si="73"/>
        <v/>
      </c>
      <c r="T160" s="4"/>
      <c r="U160" s="4"/>
      <c r="V160" s="4"/>
      <c r="W160" s="4"/>
      <c r="X160" s="4"/>
      <c r="Y160" s="4"/>
      <c r="Z160" s="4"/>
      <c r="AA160" s="2" t="str">
        <f t="shared" si="74"/>
        <v/>
      </c>
      <c r="AB160" s="2" t="str">
        <f t="shared" si="75"/>
        <v/>
      </c>
      <c r="AC160" s="4">
        <f t="shared" si="76"/>
        <v>8</v>
      </c>
      <c r="AD160" s="1" t="str">
        <f t="shared" si="77"/>
        <v/>
      </c>
      <c r="AE160" s="4"/>
      <c r="AF160" s="4"/>
      <c r="AG160" s="4"/>
      <c r="AH160" s="4"/>
      <c r="AI160" s="4"/>
      <c r="AJ160" s="4"/>
      <c r="AK160" s="4"/>
      <c r="AL160" s="2" t="str">
        <f t="shared" si="78"/>
        <v/>
      </c>
      <c r="AM160" s="2" t="str">
        <f t="shared" si="79"/>
        <v/>
      </c>
      <c r="AN160" s="4">
        <f t="shared" si="80"/>
        <v>8</v>
      </c>
      <c r="AO160" s="1" t="str">
        <f t="shared" si="81"/>
        <v/>
      </c>
      <c r="AP160" s="4"/>
      <c r="AQ160" s="4"/>
      <c r="AR160" s="4"/>
      <c r="AS160" s="4"/>
      <c r="AT160" s="4"/>
      <c r="AU160" s="4"/>
      <c r="AV160" s="4"/>
      <c r="AW160" s="2" t="str">
        <f t="shared" si="82"/>
        <v/>
      </c>
      <c r="AX160" s="23" t="str">
        <f t="shared" si="83"/>
        <v/>
      </c>
      <c r="AY160" s="4">
        <f t="shared" si="84"/>
        <v>8</v>
      </c>
      <c r="AZ160" s="1" t="str">
        <f t="shared" si="85"/>
        <v/>
      </c>
      <c r="BA160" s="4"/>
      <c r="BB160" s="4"/>
      <c r="BC160" s="4"/>
      <c r="BD160" s="4"/>
      <c r="BE160" s="4"/>
      <c r="BF160" s="4"/>
      <c r="BG160" s="4"/>
      <c r="BH160" s="2" t="str">
        <f t="shared" si="86"/>
        <v/>
      </c>
      <c r="BI160" s="2" t="str">
        <f t="shared" si="87"/>
        <v/>
      </c>
      <c r="BJ160" s="4">
        <f t="shared" si="88"/>
        <v>8</v>
      </c>
      <c r="BK160" s="1" t="str">
        <f t="shared" si="89"/>
        <v/>
      </c>
      <c r="BL160" s="23"/>
      <c r="BM160" s="23"/>
      <c r="BN160" s="23"/>
      <c r="BO160" s="4"/>
      <c r="BP160" s="24"/>
      <c r="BQ160" s="23"/>
      <c r="BR160" s="4"/>
      <c r="BS160" s="24"/>
      <c r="BT160" s="23"/>
      <c r="BU160" s="23"/>
      <c r="BV160" s="23"/>
      <c r="BW160" s="4"/>
      <c r="BX160" s="24"/>
      <c r="BY160" s="23"/>
      <c r="BZ160" s="4"/>
      <c r="CA160" s="2" t="str">
        <f t="shared" si="90"/>
        <v/>
      </c>
      <c r="CB160" s="2" t="str">
        <f t="shared" si="91"/>
        <v/>
      </c>
      <c r="CC160" s="4">
        <f t="shared" si="92"/>
        <v>8</v>
      </c>
      <c r="CD160" s="1" t="str">
        <f t="shared" si="93"/>
        <v/>
      </c>
      <c r="CE160" s="23"/>
      <c r="CF160" s="4"/>
      <c r="CG160" s="4"/>
      <c r="CH160" s="2" t="str">
        <f t="shared" si="94"/>
        <v/>
      </c>
      <c r="CI160" s="2" t="str">
        <f t="shared" si="95"/>
        <v/>
      </c>
    </row>
    <row r="161" spans="2:87" ht="21.75" customHeight="1">
      <c r="B161" s="38">
        <v>9</v>
      </c>
      <c r="C161" s="41"/>
      <c r="D161" s="45"/>
      <c r="E161" s="45"/>
      <c r="F161" s="45"/>
      <c r="G161" s="45"/>
      <c r="H161" s="45"/>
      <c r="I161" s="45"/>
      <c r="J161" s="45"/>
      <c r="K161" s="53"/>
      <c r="L161" s="53"/>
      <c r="M161" s="53"/>
      <c r="N161" s="45"/>
      <c r="O161" s="45"/>
      <c r="R161" s="4">
        <f t="shared" si="72"/>
        <v>9</v>
      </c>
      <c r="S161" s="1" t="str">
        <f t="shared" si="73"/>
        <v/>
      </c>
      <c r="T161" s="4"/>
      <c r="U161" s="4"/>
      <c r="V161" s="4"/>
      <c r="W161" s="4"/>
      <c r="X161" s="4"/>
      <c r="Y161" s="4"/>
      <c r="Z161" s="4"/>
      <c r="AA161" s="2" t="str">
        <f t="shared" si="74"/>
        <v/>
      </c>
      <c r="AB161" s="2" t="str">
        <f t="shared" si="75"/>
        <v/>
      </c>
      <c r="AC161" s="4">
        <f t="shared" si="76"/>
        <v>9</v>
      </c>
      <c r="AD161" s="1" t="str">
        <f t="shared" si="77"/>
        <v/>
      </c>
      <c r="AE161" s="4"/>
      <c r="AF161" s="4"/>
      <c r="AG161" s="4"/>
      <c r="AH161" s="4"/>
      <c r="AI161" s="4"/>
      <c r="AJ161" s="4"/>
      <c r="AK161" s="4"/>
      <c r="AL161" s="2" t="str">
        <f t="shared" si="78"/>
        <v/>
      </c>
      <c r="AM161" s="2" t="str">
        <f t="shared" si="79"/>
        <v/>
      </c>
      <c r="AN161" s="4">
        <f t="shared" si="80"/>
        <v>9</v>
      </c>
      <c r="AO161" s="1" t="str">
        <f t="shared" si="81"/>
        <v/>
      </c>
      <c r="AP161" s="4"/>
      <c r="AQ161" s="4"/>
      <c r="AR161" s="4"/>
      <c r="AS161" s="4"/>
      <c r="AT161" s="4"/>
      <c r="AU161" s="4"/>
      <c r="AV161" s="4"/>
      <c r="AW161" s="2" t="str">
        <f t="shared" si="82"/>
        <v/>
      </c>
      <c r="AX161" s="23" t="str">
        <f t="shared" si="83"/>
        <v/>
      </c>
      <c r="AY161" s="4">
        <f t="shared" si="84"/>
        <v>9</v>
      </c>
      <c r="AZ161" s="1" t="str">
        <f t="shared" si="85"/>
        <v/>
      </c>
      <c r="BA161" s="4"/>
      <c r="BB161" s="4"/>
      <c r="BC161" s="4"/>
      <c r="BD161" s="4"/>
      <c r="BE161" s="4"/>
      <c r="BF161" s="4"/>
      <c r="BG161" s="4"/>
      <c r="BH161" s="2" t="str">
        <f t="shared" si="86"/>
        <v/>
      </c>
      <c r="BI161" s="2" t="str">
        <f t="shared" si="87"/>
        <v/>
      </c>
      <c r="BJ161" s="4">
        <f t="shared" si="88"/>
        <v>9</v>
      </c>
      <c r="BK161" s="1" t="str">
        <f t="shared" si="89"/>
        <v/>
      </c>
      <c r="BL161" s="23"/>
      <c r="BM161" s="23"/>
      <c r="BN161" s="23"/>
      <c r="BO161" s="4"/>
      <c r="BP161" s="4"/>
      <c r="BQ161" s="23"/>
      <c r="BR161" s="4"/>
      <c r="BS161" s="4"/>
      <c r="BT161" s="23"/>
      <c r="BU161" s="23"/>
      <c r="BV161" s="23"/>
      <c r="BW161" s="4"/>
      <c r="BX161" s="4"/>
      <c r="BY161" s="23"/>
      <c r="BZ161" s="4"/>
      <c r="CA161" s="2" t="str">
        <f t="shared" si="90"/>
        <v/>
      </c>
      <c r="CB161" s="2" t="str">
        <f t="shared" si="91"/>
        <v/>
      </c>
      <c r="CC161" s="4">
        <f t="shared" si="92"/>
        <v>9</v>
      </c>
      <c r="CD161" s="1" t="str">
        <f t="shared" si="93"/>
        <v/>
      </c>
      <c r="CE161" s="23"/>
      <c r="CF161" s="4"/>
      <c r="CG161" s="4"/>
      <c r="CH161" s="2" t="str">
        <f t="shared" si="94"/>
        <v/>
      </c>
      <c r="CI161" s="2" t="str">
        <f t="shared" si="95"/>
        <v/>
      </c>
    </row>
    <row r="162" spans="2:87" ht="21.75" customHeight="1">
      <c r="B162" s="38">
        <v>10</v>
      </c>
      <c r="C162" s="41"/>
      <c r="D162" s="45"/>
      <c r="E162" s="45"/>
      <c r="F162" s="45"/>
      <c r="G162" s="45"/>
      <c r="H162" s="45"/>
      <c r="I162" s="45"/>
      <c r="J162" s="45"/>
      <c r="K162" s="53"/>
      <c r="L162" s="53"/>
      <c r="M162" s="53"/>
      <c r="N162" s="45"/>
      <c r="O162" s="45"/>
      <c r="R162" s="4">
        <f t="shared" si="72"/>
        <v>10</v>
      </c>
      <c r="S162" s="1" t="str">
        <f t="shared" si="73"/>
        <v/>
      </c>
      <c r="T162" s="4"/>
      <c r="U162" s="4"/>
      <c r="V162" s="4"/>
      <c r="W162" s="4"/>
      <c r="X162" s="4"/>
      <c r="Y162" s="4"/>
      <c r="Z162" s="4"/>
      <c r="AA162" s="2" t="str">
        <f t="shared" si="74"/>
        <v/>
      </c>
      <c r="AB162" s="2" t="str">
        <f t="shared" si="75"/>
        <v/>
      </c>
      <c r="AC162" s="4">
        <f t="shared" si="76"/>
        <v>10</v>
      </c>
      <c r="AD162" s="1" t="str">
        <f t="shared" si="77"/>
        <v/>
      </c>
      <c r="AE162" s="4"/>
      <c r="AF162" s="4"/>
      <c r="AG162" s="4"/>
      <c r="AH162" s="4"/>
      <c r="AI162" s="4"/>
      <c r="AJ162" s="4"/>
      <c r="AK162" s="4"/>
      <c r="AL162" s="2" t="str">
        <f t="shared" si="78"/>
        <v/>
      </c>
      <c r="AM162" s="2" t="str">
        <f t="shared" si="79"/>
        <v/>
      </c>
      <c r="AN162" s="4">
        <f t="shared" si="80"/>
        <v>10</v>
      </c>
      <c r="AO162" s="1" t="str">
        <f t="shared" si="81"/>
        <v/>
      </c>
      <c r="AP162" s="4"/>
      <c r="AQ162" s="4"/>
      <c r="AR162" s="4"/>
      <c r="AS162" s="4"/>
      <c r="AT162" s="4"/>
      <c r="AU162" s="4"/>
      <c r="AV162" s="4"/>
      <c r="AW162" s="2" t="str">
        <f t="shared" si="82"/>
        <v/>
      </c>
      <c r="AX162" s="23" t="str">
        <f t="shared" si="83"/>
        <v/>
      </c>
      <c r="AY162" s="4">
        <f t="shared" si="84"/>
        <v>10</v>
      </c>
      <c r="AZ162" s="1" t="str">
        <f t="shared" si="85"/>
        <v/>
      </c>
      <c r="BA162" s="4"/>
      <c r="BB162" s="4"/>
      <c r="BC162" s="4"/>
      <c r="BD162" s="4"/>
      <c r="BE162" s="4"/>
      <c r="BF162" s="4"/>
      <c r="BG162" s="4"/>
      <c r="BH162" s="2" t="str">
        <f t="shared" si="86"/>
        <v/>
      </c>
      <c r="BI162" s="2" t="str">
        <f t="shared" si="87"/>
        <v/>
      </c>
      <c r="BJ162" s="4">
        <f t="shared" si="88"/>
        <v>10</v>
      </c>
      <c r="BK162" s="1" t="str">
        <f t="shared" si="89"/>
        <v/>
      </c>
      <c r="BL162" s="23"/>
      <c r="BM162" s="23"/>
      <c r="BN162" s="23"/>
      <c r="BO162" s="4"/>
      <c r="BP162" s="4"/>
      <c r="BQ162" s="23"/>
      <c r="BR162" s="4"/>
      <c r="BS162" s="4"/>
      <c r="BT162" s="23"/>
      <c r="BU162" s="23"/>
      <c r="BV162" s="23"/>
      <c r="BW162" s="4"/>
      <c r="BX162" s="4"/>
      <c r="BY162" s="23"/>
      <c r="BZ162" s="4"/>
      <c r="CA162" s="2" t="str">
        <f t="shared" si="90"/>
        <v/>
      </c>
      <c r="CB162" s="2" t="str">
        <f t="shared" si="91"/>
        <v/>
      </c>
      <c r="CC162" s="4">
        <f t="shared" si="92"/>
        <v>10</v>
      </c>
      <c r="CD162" s="1" t="str">
        <f t="shared" si="93"/>
        <v/>
      </c>
      <c r="CE162" s="23"/>
      <c r="CF162" s="4"/>
      <c r="CG162" s="4"/>
      <c r="CH162" s="2" t="str">
        <f t="shared" si="94"/>
        <v/>
      </c>
      <c r="CI162" s="2" t="str">
        <f t="shared" si="95"/>
        <v/>
      </c>
    </row>
    <row r="163" spans="2:87" ht="21.75" customHeight="1">
      <c r="B163" s="38">
        <v>11</v>
      </c>
      <c r="C163" s="41"/>
      <c r="D163" s="45"/>
      <c r="E163" s="45"/>
      <c r="F163" s="45"/>
      <c r="G163" s="45"/>
      <c r="H163" s="45"/>
      <c r="I163" s="45"/>
      <c r="J163" s="45"/>
      <c r="K163" s="53"/>
      <c r="L163" s="53"/>
      <c r="M163" s="53"/>
      <c r="N163" s="45"/>
      <c r="O163" s="45"/>
      <c r="R163" s="4">
        <f t="shared" si="72"/>
        <v>11</v>
      </c>
      <c r="S163" s="1" t="str">
        <f t="shared" si="73"/>
        <v/>
      </c>
      <c r="T163" s="4"/>
      <c r="U163" s="4"/>
      <c r="V163" s="4"/>
      <c r="W163" s="4"/>
      <c r="X163" s="4"/>
      <c r="Y163" s="4"/>
      <c r="Z163" s="4"/>
      <c r="AA163" s="2" t="str">
        <f t="shared" si="74"/>
        <v/>
      </c>
      <c r="AB163" s="2" t="str">
        <f t="shared" si="75"/>
        <v/>
      </c>
      <c r="AC163" s="4">
        <f t="shared" si="76"/>
        <v>11</v>
      </c>
      <c r="AD163" s="1" t="str">
        <f t="shared" si="77"/>
        <v/>
      </c>
      <c r="AE163" s="4"/>
      <c r="AF163" s="4"/>
      <c r="AG163" s="4"/>
      <c r="AH163" s="4"/>
      <c r="AI163" s="4"/>
      <c r="AJ163" s="4"/>
      <c r="AK163" s="4"/>
      <c r="AL163" s="2" t="str">
        <f t="shared" si="78"/>
        <v/>
      </c>
      <c r="AM163" s="2" t="str">
        <f t="shared" si="79"/>
        <v/>
      </c>
      <c r="AN163" s="4">
        <f t="shared" si="80"/>
        <v>11</v>
      </c>
      <c r="AO163" s="1" t="str">
        <f t="shared" si="81"/>
        <v/>
      </c>
      <c r="AP163" s="4"/>
      <c r="AQ163" s="4"/>
      <c r="AR163" s="4"/>
      <c r="AS163" s="4"/>
      <c r="AT163" s="4"/>
      <c r="AU163" s="4"/>
      <c r="AV163" s="4"/>
      <c r="AW163" s="2" t="str">
        <f t="shared" si="82"/>
        <v/>
      </c>
      <c r="AX163" s="23" t="str">
        <f t="shared" si="83"/>
        <v/>
      </c>
      <c r="AY163" s="4">
        <f t="shared" si="84"/>
        <v>11</v>
      </c>
      <c r="AZ163" s="1" t="str">
        <f t="shared" si="85"/>
        <v/>
      </c>
      <c r="BA163" s="4"/>
      <c r="BB163" s="4"/>
      <c r="BC163" s="4"/>
      <c r="BD163" s="4"/>
      <c r="BE163" s="4"/>
      <c r="BF163" s="4"/>
      <c r="BG163" s="4"/>
      <c r="BH163" s="2" t="str">
        <f t="shared" si="86"/>
        <v/>
      </c>
      <c r="BI163" s="2" t="str">
        <f t="shared" si="87"/>
        <v/>
      </c>
      <c r="BJ163" s="4">
        <f t="shared" si="88"/>
        <v>11</v>
      </c>
      <c r="BK163" s="1" t="str">
        <f t="shared" si="89"/>
        <v/>
      </c>
      <c r="BL163" s="23"/>
      <c r="BM163" s="23"/>
      <c r="BN163" s="23"/>
      <c r="BO163" s="4"/>
      <c r="BP163" s="4"/>
      <c r="BQ163" s="23"/>
      <c r="BR163" s="4"/>
      <c r="BS163" s="4"/>
      <c r="BT163" s="23"/>
      <c r="BU163" s="23"/>
      <c r="BV163" s="23"/>
      <c r="BW163" s="4"/>
      <c r="BX163" s="4"/>
      <c r="BY163" s="23"/>
      <c r="BZ163" s="4"/>
      <c r="CA163" s="2" t="str">
        <f t="shared" si="90"/>
        <v/>
      </c>
      <c r="CB163" s="2" t="str">
        <f t="shared" si="91"/>
        <v/>
      </c>
      <c r="CC163" s="4">
        <f t="shared" si="92"/>
        <v>11</v>
      </c>
      <c r="CD163" s="1" t="str">
        <f t="shared" si="93"/>
        <v/>
      </c>
      <c r="CE163" s="23"/>
      <c r="CF163" s="4"/>
      <c r="CG163" s="4"/>
      <c r="CH163" s="2" t="str">
        <f t="shared" si="94"/>
        <v/>
      </c>
      <c r="CI163" s="2" t="str">
        <f t="shared" si="95"/>
        <v/>
      </c>
    </row>
    <row r="164" spans="2:87" ht="21.75" customHeight="1">
      <c r="B164" s="38">
        <v>12</v>
      </c>
      <c r="C164" s="41"/>
      <c r="D164" s="45"/>
      <c r="E164" s="45"/>
      <c r="F164" s="45"/>
      <c r="G164" s="45"/>
      <c r="H164" s="45"/>
      <c r="I164" s="45"/>
      <c r="J164" s="45"/>
      <c r="K164" s="53"/>
      <c r="L164" s="53"/>
      <c r="M164" s="53"/>
      <c r="N164" s="45"/>
      <c r="O164" s="45"/>
      <c r="R164" s="4">
        <f t="shared" si="72"/>
        <v>12</v>
      </c>
      <c r="S164" s="1" t="str">
        <f t="shared" si="73"/>
        <v/>
      </c>
      <c r="T164" s="4"/>
      <c r="U164" s="4"/>
      <c r="V164" s="4"/>
      <c r="W164" s="4"/>
      <c r="X164" s="4"/>
      <c r="Y164" s="4"/>
      <c r="Z164" s="4"/>
      <c r="AA164" s="2" t="str">
        <f t="shared" si="74"/>
        <v/>
      </c>
      <c r="AB164" s="2" t="str">
        <f t="shared" si="75"/>
        <v/>
      </c>
      <c r="AC164" s="4">
        <f t="shared" si="76"/>
        <v>12</v>
      </c>
      <c r="AD164" s="1" t="str">
        <f t="shared" si="77"/>
        <v/>
      </c>
      <c r="AE164" s="4"/>
      <c r="AF164" s="4"/>
      <c r="AG164" s="4"/>
      <c r="AH164" s="4"/>
      <c r="AI164" s="4"/>
      <c r="AJ164" s="4"/>
      <c r="AK164" s="4"/>
      <c r="AL164" s="2" t="str">
        <f t="shared" si="78"/>
        <v/>
      </c>
      <c r="AM164" s="2" t="str">
        <f t="shared" si="79"/>
        <v/>
      </c>
      <c r="AN164" s="4">
        <f t="shared" si="80"/>
        <v>12</v>
      </c>
      <c r="AO164" s="1" t="str">
        <f t="shared" si="81"/>
        <v/>
      </c>
      <c r="AP164" s="4"/>
      <c r="AQ164" s="4"/>
      <c r="AR164" s="4"/>
      <c r="AS164" s="4"/>
      <c r="AT164" s="4"/>
      <c r="AU164" s="4"/>
      <c r="AV164" s="4"/>
      <c r="AW164" s="2" t="str">
        <f t="shared" si="82"/>
        <v/>
      </c>
      <c r="AX164" s="23" t="str">
        <f t="shared" si="83"/>
        <v/>
      </c>
      <c r="AY164" s="4">
        <f t="shared" si="84"/>
        <v>12</v>
      </c>
      <c r="AZ164" s="1" t="str">
        <f t="shared" si="85"/>
        <v/>
      </c>
      <c r="BA164" s="4"/>
      <c r="BB164" s="4"/>
      <c r="BC164" s="4"/>
      <c r="BD164" s="4"/>
      <c r="BE164" s="4"/>
      <c r="BF164" s="4"/>
      <c r="BG164" s="4"/>
      <c r="BH164" s="2" t="str">
        <f t="shared" si="86"/>
        <v/>
      </c>
      <c r="BI164" s="2" t="str">
        <f t="shared" si="87"/>
        <v/>
      </c>
      <c r="BJ164" s="4">
        <f t="shared" si="88"/>
        <v>12</v>
      </c>
      <c r="BK164" s="1" t="str">
        <f t="shared" si="89"/>
        <v/>
      </c>
      <c r="BL164" s="23"/>
      <c r="BM164" s="23"/>
      <c r="BN164" s="23"/>
      <c r="BO164" s="4"/>
      <c r="BP164" s="4"/>
      <c r="BQ164" s="23"/>
      <c r="BR164" s="4"/>
      <c r="BS164" s="4"/>
      <c r="BT164" s="23"/>
      <c r="BU164" s="23"/>
      <c r="BV164" s="23"/>
      <c r="BW164" s="4"/>
      <c r="BX164" s="4"/>
      <c r="BY164" s="23"/>
      <c r="BZ164" s="4"/>
      <c r="CA164" s="2" t="str">
        <f t="shared" si="90"/>
        <v/>
      </c>
      <c r="CB164" s="2" t="str">
        <f t="shared" si="91"/>
        <v/>
      </c>
      <c r="CC164" s="4">
        <f t="shared" si="92"/>
        <v>12</v>
      </c>
      <c r="CD164" s="1" t="str">
        <f t="shared" si="93"/>
        <v/>
      </c>
      <c r="CE164" s="23"/>
      <c r="CF164" s="4"/>
      <c r="CG164" s="4"/>
      <c r="CH164" s="2" t="str">
        <f t="shared" si="94"/>
        <v/>
      </c>
      <c r="CI164" s="2" t="str">
        <f t="shared" si="95"/>
        <v/>
      </c>
    </row>
    <row r="165" spans="2:87" ht="21.75" customHeight="1">
      <c r="B165" s="38">
        <v>13</v>
      </c>
      <c r="C165" s="41"/>
      <c r="D165" s="45"/>
      <c r="E165" s="45"/>
      <c r="F165" s="45"/>
      <c r="G165" s="45"/>
      <c r="H165" s="45"/>
      <c r="I165" s="45"/>
      <c r="J165" s="45"/>
      <c r="K165" s="53"/>
      <c r="L165" s="53"/>
      <c r="M165" s="53"/>
      <c r="N165" s="45"/>
      <c r="O165" s="45"/>
      <c r="R165" s="4">
        <f t="shared" si="72"/>
        <v>13</v>
      </c>
      <c r="S165" s="1" t="str">
        <f t="shared" si="73"/>
        <v/>
      </c>
      <c r="T165" s="4"/>
      <c r="U165" s="4"/>
      <c r="V165" s="4"/>
      <c r="W165" s="4"/>
      <c r="X165" s="4"/>
      <c r="Y165" s="4"/>
      <c r="Z165" s="4"/>
      <c r="AA165" s="2" t="str">
        <f t="shared" si="74"/>
        <v/>
      </c>
      <c r="AB165" s="2" t="str">
        <f t="shared" si="75"/>
        <v/>
      </c>
      <c r="AC165" s="4">
        <f t="shared" si="76"/>
        <v>13</v>
      </c>
      <c r="AD165" s="1" t="str">
        <f t="shared" si="77"/>
        <v/>
      </c>
      <c r="AE165" s="4"/>
      <c r="AF165" s="4"/>
      <c r="AG165" s="4"/>
      <c r="AH165" s="4"/>
      <c r="AI165" s="4"/>
      <c r="AJ165" s="4"/>
      <c r="AK165" s="4"/>
      <c r="AL165" s="2" t="str">
        <f t="shared" si="78"/>
        <v/>
      </c>
      <c r="AM165" s="2" t="str">
        <f t="shared" si="79"/>
        <v/>
      </c>
      <c r="AN165" s="4">
        <f t="shared" si="80"/>
        <v>13</v>
      </c>
      <c r="AO165" s="1" t="str">
        <f t="shared" si="81"/>
        <v/>
      </c>
      <c r="AP165" s="4"/>
      <c r="AQ165" s="4"/>
      <c r="AR165" s="4"/>
      <c r="AS165" s="4"/>
      <c r="AT165" s="4"/>
      <c r="AU165" s="4"/>
      <c r="AV165" s="4"/>
      <c r="AW165" s="2" t="str">
        <f t="shared" si="82"/>
        <v/>
      </c>
      <c r="AX165" s="23" t="str">
        <f t="shared" si="83"/>
        <v/>
      </c>
      <c r="AY165" s="4">
        <f t="shared" si="84"/>
        <v>13</v>
      </c>
      <c r="AZ165" s="1" t="str">
        <f t="shared" si="85"/>
        <v/>
      </c>
      <c r="BA165" s="4"/>
      <c r="BB165" s="4"/>
      <c r="BC165" s="4"/>
      <c r="BD165" s="4"/>
      <c r="BE165" s="4"/>
      <c r="BF165" s="4"/>
      <c r="BG165" s="4"/>
      <c r="BH165" s="2" t="str">
        <f t="shared" si="86"/>
        <v/>
      </c>
      <c r="BI165" s="2" t="str">
        <f t="shared" si="87"/>
        <v/>
      </c>
      <c r="BJ165" s="4">
        <f t="shared" si="88"/>
        <v>13</v>
      </c>
      <c r="BK165" s="1" t="str">
        <f t="shared" si="89"/>
        <v/>
      </c>
      <c r="BL165" s="23"/>
      <c r="BM165" s="23"/>
      <c r="BN165" s="23"/>
      <c r="BO165" s="4"/>
      <c r="BP165" s="4"/>
      <c r="BQ165" s="23"/>
      <c r="BR165" s="4"/>
      <c r="BS165" s="4"/>
      <c r="BT165" s="23"/>
      <c r="BU165" s="23"/>
      <c r="BV165" s="23"/>
      <c r="BW165" s="4"/>
      <c r="BX165" s="4"/>
      <c r="BY165" s="23"/>
      <c r="BZ165" s="4"/>
      <c r="CA165" s="2" t="str">
        <f t="shared" si="90"/>
        <v/>
      </c>
      <c r="CB165" s="2" t="str">
        <f t="shared" si="91"/>
        <v/>
      </c>
      <c r="CC165" s="4">
        <f t="shared" si="92"/>
        <v>13</v>
      </c>
      <c r="CD165" s="1" t="str">
        <f t="shared" si="93"/>
        <v/>
      </c>
      <c r="CE165" s="23"/>
      <c r="CF165" s="4"/>
      <c r="CG165" s="4"/>
      <c r="CH165" s="2" t="str">
        <f t="shared" si="94"/>
        <v/>
      </c>
      <c r="CI165" s="2" t="str">
        <f t="shared" si="95"/>
        <v/>
      </c>
    </row>
    <row r="166" spans="2:87" ht="21.75" customHeight="1">
      <c r="B166" s="38">
        <v>14</v>
      </c>
      <c r="C166" s="41"/>
      <c r="D166" s="45"/>
      <c r="E166" s="45"/>
      <c r="F166" s="45"/>
      <c r="G166" s="45"/>
      <c r="H166" s="45"/>
      <c r="I166" s="45"/>
      <c r="J166" s="45"/>
      <c r="K166" s="53"/>
      <c r="L166" s="53"/>
      <c r="M166" s="53"/>
      <c r="N166" s="45"/>
      <c r="O166" s="45"/>
      <c r="R166" s="4">
        <f t="shared" si="72"/>
        <v>14</v>
      </c>
      <c r="S166" s="1" t="str">
        <f t="shared" si="73"/>
        <v/>
      </c>
      <c r="T166" s="4"/>
      <c r="U166" s="4"/>
      <c r="V166" s="4"/>
      <c r="W166" s="4"/>
      <c r="X166" s="4"/>
      <c r="Y166" s="4"/>
      <c r="Z166" s="4"/>
      <c r="AA166" s="2" t="str">
        <f t="shared" si="74"/>
        <v/>
      </c>
      <c r="AB166" s="2" t="str">
        <f t="shared" si="75"/>
        <v/>
      </c>
      <c r="AC166" s="4">
        <f t="shared" si="76"/>
        <v>14</v>
      </c>
      <c r="AD166" s="1" t="str">
        <f t="shared" si="77"/>
        <v/>
      </c>
      <c r="AE166" s="4"/>
      <c r="AF166" s="4"/>
      <c r="AG166" s="4"/>
      <c r="AH166" s="4"/>
      <c r="AI166" s="4"/>
      <c r="AJ166" s="4"/>
      <c r="AK166" s="4"/>
      <c r="AL166" s="2" t="str">
        <f t="shared" si="78"/>
        <v/>
      </c>
      <c r="AM166" s="2" t="str">
        <f t="shared" si="79"/>
        <v/>
      </c>
      <c r="AN166" s="4">
        <f t="shared" si="80"/>
        <v>14</v>
      </c>
      <c r="AO166" s="1" t="str">
        <f t="shared" si="81"/>
        <v/>
      </c>
      <c r="AP166" s="4"/>
      <c r="AQ166" s="4"/>
      <c r="AR166" s="4"/>
      <c r="AS166" s="4"/>
      <c r="AT166" s="4"/>
      <c r="AU166" s="4"/>
      <c r="AV166" s="4"/>
      <c r="AW166" s="2" t="str">
        <f t="shared" si="82"/>
        <v/>
      </c>
      <c r="AX166" s="23" t="str">
        <f t="shared" si="83"/>
        <v/>
      </c>
      <c r="AY166" s="4">
        <f t="shared" si="84"/>
        <v>14</v>
      </c>
      <c r="AZ166" s="1" t="str">
        <f t="shared" si="85"/>
        <v/>
      </c>
      <c r="BA166" s="4"/>
      <c r="BB166" s="4"/>
      <c r="BC166" s="4"/>
      <c r="BD166" s="4"/>
      <c r="BE166" s="4"/>
      <c r="BF166" s="4"/>
      <c r="BG166" s="4"/>
      <c r="BH166" s="2" t="str">
        <f t="shared" si="86"/>
        <v/>
      </c>
      <c r="BI166" s="2" t="str">
        <f t="shared" si="87"/>
        <v/>
      </c>
      <c r="BJ166" s="4">
        <f t="shared" si="88"/>
        <v>14</v>
      </c>
      <c r="BK166" s="1" t="str">
        <f t="shared" si="89"/>
        <v/>
      </c>
      <c r="BL166" s="23"/>
      <c r="BM166" s="23"/>
      <c r="BN166" s="23"/>
      <c r="BO166" s="4"/>
      <c r="BP166" s="4"/>
      <c r="BQ166" s="23"/>
      <c r="BR166" s="4"/>
      <c r="BS166" s="4"/>
      <c r="BT166" s="23"/>
      <c r="BU166" s="23"/>
      <c r="BV166" s="23"/>
      <c r="BW166" s="4"/>
      <c r="BX166" s="4"/>
      <c r="BY166" s="23"/>
      <c r="BZ166" s="4"/>
      <c r="CA166" s="2" t="str">
        <f t="shared" si="90"/>
        <v/>
      </c>
      <c r="CB166" s="2" t="str">
        <f t="shared" si="91"/>
        <v/>
      </c>
      <c r="CC166" s="4">
        <f t="shared" si="92"/>
        <v>14</v>
      </c>
      <c r="CD166" s="1" t="str">
        <f t="shared" si="93"/>
        <v/>
      </c>
      <c r="CE166" s="23"/>
      <c r="CF166" s="4"/>
      <c r="CG166" s="4"/>
      <c r="CH166" s="2" t="str">
        <f t="shared" si="94"/>
        <v/>
      </c>
      <c r="CI166" s="2" t="str">
        <f t="shared" si="95"/>
        <v/>
      </c>
    </row>
    <row r="167" spans="2:87" ht="21.75" customHeight="1">
      <c r="B167" s="38">
        <v>15</v>
      </c>
      <c r="C167" s="41"/>
      <c r="D167" s="45"/>
      <c r="E167" s="45"/>
      <c r="F167" s="45"/>
      <c r="G167" s="45"/>
      <c r="H167" s="45"/>
      <c r="I167" s="45"/>
      <c r="J167" s="45"/>
      <c r="K167" s="53"/>
      <c r="L167" s="53"/>
      <c r="M167" s="53"/>
      <c r="N167" s="45"/>
      <c r="O167" s="45"/>
      <c r="R167" s="4">
        <f t="shared" si="72"/>
        <v>15</v>
      </c>
      <c r="S167" s="1" t="str">
        <f t="shared" si="73"/>
        <v/>
      </c>
      <c r="T167" s="4"/>
      <c r="U167" s="4"/>
      <c r="V167" s="4"/>
      <c r="W167" s="4"/>
      <c r="X167" s="4"/>
      <c r="Y167" s="4"/>
      <c r="Z167" s="4"/>
      <c r="AA167" s="2" t="str">
        <f t="shared" si="74"/>
        <v/>
      </c>
      <c r="AB167" s="2" t="str">
        <f t="shared" si="75"/>
        <v/>
      </c>
      <c r="AC167" s="4">
        <f t="shared" si="76"/>
        <v>15</v>
      </c>
      <c r="AD167" s="1" t="str">
        <f t="shared" si="77"/>
        <v/>
      </c>
      <c r="AE167" s="4"/>
      <c r="AF167" s="4"/>
      <c r="AG167" s="4"/>
      <c r="AH167" s="4"/>
      <c r="AI167" s="4"/>
      <c r="AJ167" s="4"/>
      <c r="AK167" s="4"/>
      <c r="AL167" s="2" t="str">
        <f t="shared" si="78"/>
        <v/>
      </c>
      <c r="AM167" s="2" t="str">
        <f t="shared" si="79"/>
        <v/>
      </c>
      <c r="AN167" s="4">
        <f t="shared" si="80"/>
        <v>15</v>
      </c>
      <c r="AO167" s="1" t="str">
        <f t="shared" si="81"/>
        <v/>
      </c>
      <c r="AP167" s="4"/>
      <c r="AQ167" s="4"/>
      <c r="AR167" s="4"/>
      <c r="AS167" s="4"/>
      <c r="AT167" s="4"/>
      <c r="AU167" s="4"/>
      <c r="AV167" s="4"/>
      <c r="AW167" s="2" t="str">
        <f t="shared" si="82"/>
        <v/>
      </c>
      <c r="AX167" s="23" t="str">
        <f t="shared" si="83"/>
        <v/>
      </c>
      <c r="AY167" s="4">
        <f t="shared" si="84"/>
        <v>15</v>
      </c>
      <c r="AZ167" s="1" t="str">
        <f t="shared" si="85"/>
        <v/>
      </c>
      <c r="BA167" s="4"/>
      <c r="BB167" s="4"/>
      <c r="BC167" s="4"/>
      <c r="BD167" s="4"/>
      <c r="BE167" s="4"/>
      <c r="BF167" s="4"/>
      <c r="BG167" s="4"/>
      <c r="BH167" s="2" t="str">
        <f t="shared" si="86"/>
        <v/>
      </c>
      <c r="BI167" s="2" t="str">
        <f t="shared" si="87"/>
        <v/>
      </c>
      <c r="BJ167" s="4">
        <f t="shared" si="88"/>
        <v>15</v>
      </c>
      <c r="BK167" s="1" t="str">
        <f t="shared" si="89"/>
        <v/>
      </c>
      <c r="BL167" s="23"/>
      <c r="BM167" s="23"/>
      <c r="BN167" s="23"/>
      <c r="BO167" s="4"/>
      <c r="BP167" s="4"/>
      <c r="BQ167" s="23"/>
      <c r="BR167" s="4"/>
      <c r="BS167" s="4"/>
      <c r="BT167" s="23"/>
      <c r="BU167" s="23"/>
      <c r="BV167" s="23"/>
      <c r="BW167" s="4"/>
      <c r="BX167" s="4"/>
      <c r="BY167" s="23"/>
      <c r="BZ167" s="4"/>
      <c r="CA167" s="2" t="str">
        <f t="shared" si="90"/>
        <v/>
      </c>
      <c r="CB167" s="2" t="str">
        <f t="shared" si="91"/>
        <v/>
      </c>
      <c r="CC167" s="4">
        <f t="shared" si="92"/>
        <v>15</v>
      </c>
      <c r="CD167" s="1" t="str">
        <f t="shared" si="93"/>
        <v/>
      </c>
      <c r="CE167" s="23"/>
      <c r="CF167" s="4"/>
      <c r="CG167" s="4"/>
      <c r="CH167" s="2" t="str">
        <f t="shared" si="94"/>
        <v/>
      </c>
      <c r="CI167" s="2" t="str">
        <f t="shared" si="95"/>
        <v/>
      </c>
    </row>
    <row r="168" spans="2:87" ht="21.75" customHeight="1">
      <c r="B168" s="38">
        <v>16</v>
      </c>
      <c r="C168" s="41"/>
      <c r="D168" s="45"/>
      <c r="E168" s="45"/>
      <c r="F168" s="45"/>
      <c r="G168" s="45"/>
      <c r="H168" s="45"/>
      <c r="I168" s="45"/>
      <c r="J168" s="45"/>
      <c r="K168" s="53"/>
      <c r="L168" s="53"/>
      <c r="M168" s="53"/>
      <c r="N168" s="45"/>
      <c r="O168" s="45"/>
      <c r="R168" s="4">
        <f t="shared" si="72"/>
        <v>16</v>
      </c>
      <c r="S168" s="1" t="str">
        <f t="shared" si="73"/>
        <v/>
      </c>
      <c r="T168" s="4"/>
      <c r="U168" s="4"/>
      <c r="V168" s="4"/>
      <c r="W168" s="4"/>
      <c r="X168" s="4"/>
      <c r="Y168" s="4"/>
      <c r="Z168" s="4"/>
      <c r="AA168" s="2" t="str">
        <f t="shared" si="74"/>
        <v/>
      </c>
      <c r="AB168" s="2" t="str">
        <f t="shared" si="75"/>
        <v/>
      </c>
      <c r="AC168" s="4">
        <f t="shared" si="76"/>
        <v>16</v>
      </c>
      <c r="AD168" s="1" t="str">
        <f t="shared" si="77"/>
        <v/>
      </c>
      <c r="AE168" s="4"/>
      <c r="AF168" s="4"/>
      <c r="AG168" s="4"/>
      <c r="AH168" s="4"/>
      <c r="AI168" s="4"/>
      <c r="AJ168" s="4"/>
      <c r="AK168" s="4"/>
      <c r="AL168" s="2" t="str">
        <f t="shared" si="78"/>
        <v/>
      </c>
      <c r="AM168" s="2" t="str">
        <f t="shared" si="79"/>
        <v/>
      </c>
      <c r="AN168" s="4">
        <f t="shared" si="80"/>
        <v>16</v>
      </c>
      <c r="AO168" s="1" t="str">
        <f t="shared" si="81"/>
        <v/>
      </c>
      <c r="AP168" s="4"/>
      <c r="AQ168" s="4"/>
      <c r="AR168" s="4"/>
      <c r="AS168" s="4"/>
      <c r="AT168" s="4"/>
      <c r="AU168" s="4"/>
      <c r="AV168" s="4"/>
      <c r="AW168" s="2" t="str">
        <f t="shared" si="82"/>
        <v/>
      </c>
      <c r="AX168" s="23" t="str">
        <f t="shared" si="83"/>
        <v/>
      </c>
      <c r="AY168" s="4">
        <f t="shared" si="84"/>
        <v>16</v>
      </c>
      <c r="AZ168" s="1" t="str">
        <f t="shared" si="85"/>
        <v/>
      </c>
      <c r="BA168" s="4"/>
      <c r="BB168" s="4"/>
      <c r="BC168" s="4"/>
      <c r="BD168" s="4"/>
      <c r="BE168" s="4"/>
      <c r="BF168" s="4"/>
      <c r="BG168" s="4"/>
      <c r="BH168" s="2" t="str">
        <f t="shared" si="86"/>
        <v/>
      </c>
      <c r="BI168" s="2" t="str">
        <f t="shared" si="87"/>
        <v/>
      </c>
      <c r="BJ168" s="4">
        <f t="shared" si="88"/>
        <v>16</v>
      </c>
      <c r="BK168" s="1" t="str">
        <f t="shared" si="89"/>
        <v/>
      </c>
      <c r="BL168" s="23"/>
      <c r="BM168" s="23"/>
      <c r="BN168" s="23"/>
      <c r="BO168" s="4"/>
      <c r="BP168" s="4"/>
      <c r="BQ168" s="23"/>
      <c r="BR168" s="4"/>
      <c r="BS168" s="4"/>
      <c r="BT168" s="23"/>
      <c r="BU168" s="23"/>
      <c r="BV168" s="23"/>
      <c r="BW168" s="4"/>
      <c r="BX168" s="4"/>
      <c r="BY168" s="23"/>
      <c r="BZ168" s="4"/>
      <c r="CA168" s="2" t="str">
        <f t="shared" si="90"/>
        <v/>
      </c>
      <c r="CB168" s="2" t="str">
        <f t="shared" si="91"/>
        <v/>
      </c>
      <c r="CC168" s="4">
        <f t="shared" si="92"/>
        <v>16</v>
      </c>
      <c r="CD168" s="1" t="str">
        <f t="shared" si="93"/>
        <v/>
      </c>
      <c r="CE168" s="23"/>
      <c r="CF168" s="4"/>
      <c r="CG168" s="4"/>
      <c r="CH168" s="2" t="str">
        <f t="shared" si="94"/>
        <v/>
      </c>
      <c r="CI168" s="2" t="str">
        <f t="shared" si="95"/>
        <v/>
      </c>
    </row>
    <row r="169" spans="2:87" ht="21.75" customHeight="1">
      <c r="B169" s="38">
        <v>17</v>
      </c>
      <c r="C169" s="41"/>
      <c r="D169" s="45"/>
      <c r="E169" s="45"/>
      <c r="F169" s="45"/>
      <c r="G169" s="45"/>
      <c r="H169" s="45"/>
      <c r="I169" s="45"/>
      <c r="J169" s="45"/>
      <c r="K169" s="53"/>
      <c r="L169" s="53"/>
      <c r="M169" s="53"/>
      <c r="N169" s="45"/>
      <c r="O169" s="45"/>
      <c r="R169" s="4">
        <f t="shared" si="72"/>
        <v>17</v>
      </c>
      <c r="S169" s="1" t="str">
        <f t="shared" si="73"/>
        <v/>
      </c>
      <c r="T169" s="4"/>
      <c r="U169" s="4"/>
      <c r="V169" s="4"/>
      <c r="W169" s="4"/>
      <c r="X169" s="4"/>
      <c r="Y169" s="4"/>
      <c r="Z169" s="4"/>
      <c r="AA169" s="2" t="str">
        <f t="shared" si="74"/>
        <v/>
      </c>
      <c r="AB169" s="2" t="str">
        <f t="shared" si="75"/>
        <v/>
      </c>
      <c r="AC169" s="4">
        <f t="shared" si="76"/>
        <v>17</v>
      </c>
      <c r="AD169" s="1" t="str">
        <f t="shared" si="77"/>
        <v/>
      </c>
      <c r="AE169" s="4"/>
      <c r="AF169" s="4"/>
      <c r="AG169" s="4"/>
      <c r="AH169" s="4"/>
      <c r="AI169" s="4"/>
      <c r="AJ169" s="4"/>
      <c r="AK169" s="4"/>
      <c r="AL169" s="2" t="str">
        <f t="shared" si="78"/>
        <v/>
      </c>
      <c r="AM169" s="2" t="str">
        <f t="shared" si="79"/>
        <v/>
      </c>
      <c r="AN169" s="4">
        <f t="shared" si="80"/>
        <v>17</v>
      </c>
      <c r="AO169" s="1" t="str">
        <f t="shared" si="81"/>
        <v/>
      </c>
      <c r="AP169" s="4"/>
      <c r="AQ169" s="4"/>
      <c r="AR169" s="4"/>
      <c r="AS169" s="4"/>
      <c r="AT169" s="4"/>
      <c r="AU169" s="4"/>
      <c r="AV169" s="4"/>
      <c r="AW169" s="2" t="str">
        <f t="shared" si="82"/>
        <v/>
      </c>
      <c r="AX169" s="23" t="str">
        <f t="shared" si="83"/>
        <v/>
      </c>
      <c r="AY169" s="4">
        <f t="shared" si="84"/>
        <v>17</v>
      </c>
      <c r="AZ169" s="1" t="str">
        <f t="shared" si="85"/>
        <v/>
      </c>
      <c r="BA169" s="4"/>
      <c r="BB169" s="4"/>
      <c r="BC169" s="4"/>
      <c r="BD169" s="4"/>
      <c r="BE169" s="4"/>
      <c r="BF169" s="4"/>
      <c r="BG169" s="4"/>
      <c r="BH169" s="2" t="str">
        <f t="shared" si="86"/>
        <v/>
      </c>
      <c r="BI169" s="2" t="str">
        <f t="shared" si="87"/>
        <v/>
      </c>
      <c r="BJ169" s="4">
        <f t="shared" si="88"/>
        <v>17</v>
      </c>
      <c r="BK169" s="1" t="str">
        <f t="shared" si="89"/>
        <v/>
      </c>
      <c r="BL169" s="23"/>
      <c r="BM169" s="23"/>
      <c r="BN169" s="23"/>
      <c r="BO169" s="4"/>
      <c r="BP169" s="4"/>
      <c r="BQ169" s="23"/>
      <c r="BR169" s="4"/>
      <c r="BS169" s="4"/>
      <c r="BT169" s="23"/>
      <c r="BU169" s="23"/>
      <c r="BV169" s="23"/>
      <c r="BW169" s="4"/>
      <c r="BX169" s="4"/>
      <c r="BY169" s="23"/>
      <c r="BZ169" s="4"/>
      <c r="CA169" s="2" t="str">
        <f t="shared" si="90"/>
        <v/>
      </c>
      <c r="CB169" s="2" t="str">
        <f t="shared" si="91"/>
        <v/>
      </c>
      <c r="CC169" s="4">
        <f t="shared" si="92"/>
        <v>17</v>
      </c>
      <c r="CD169" s="1" t="str">
        <f t="shared" si="93"/>
        <v/>
      </c>
      <c r="CE169" s="23"/>
      <c r="CF169" s="4"/>
      <c r="CG169" s="4"/>
      <c r="CH169" s="2" t="str">
        <f t="shared" si="94"/>
        <v/>
      </c>
      <c r="CI169" s="2" t="str">
        <f t="shared" si="95"/>
        <v/>
      </c>
    </row>
    <row r="170" spans="2:87" ht="21.75" customHeight="1">
      <c r="B170" s="38">
        <v>18</v>
      </c>
      <c r="C170" s="54"/>
      <c r="D170" s="49"/>
      <c r="E170" s="49"/>
      <c r="F170" s="49"/>
      <c r="G170" s="49"/>
      <c r="H170" s="49"/>
      <c r="I170" s="49"/>
      <c r="J170" s="49"/>
      <c r="K170" s="40"/>
      <c r="L170" s="40"/>
      <c r="M170" s="40"/>
      <c r="N170" s="49"/>
      <c r="O170" s="49"/>
      <c r="R170" s="4">
        <f t="shared" si="72"/>
        <v>18</v>
      </c>
      <c r="S170" s="1" t="str">
        <f t="shared" si="73"/>
        <v/>
      </c>
      <c r="T170" s="4"/>
      <c r="U170" s="4"/>
      <c r="V170" s="4"/>
      <c r="W170" s="4"/>
      <c r="X170" s="4"/>
      <c r="Y170" s="4"/>
      <c r="Z170" s="4"/>
      <c r="AA170" s="25" t="str">
        <f t="shared" si="74"/>
        <v/>
      </c>
      <c r="AB170" s="25" t="str">
        <f t="shared" si="75"/>
        <v/>
      </c>
      <c r="AC170" s="4">
        <f t="shared" si="76"/>
        <v>18</v>
      </c>
      <c r="AD170" s="1" t="str">
        <f t="shared" si="77"/>
        <v/>
      </c>
      <c r="AE170" s="4"/>
      <c r="AF170" s="4"/>
      <c r="AG170" s="4"/>
      <c r="AH170" s="4"/>
      <c r="AI170" s="4"/>
      <c r="AJ170" s="4"/>
      <c r="AK170" s="4"/>
      <c r="AL170" s="25" t="str">
        <f t="shared" si="78"/>
        <v/>
      </c>
      <c r="AM170" s="25" t="str">
        <f t="shared" si="79"/>
        <v/>
      </c>
      <c r="AN170" s="4">
        <f t="shared" si="80"/>
        <v>18</v>
      </c>
      <c r="AO170" s="1" t="str">
        <f t="shared" si="81"/>
        <v/>
      </c>
      <c r="AP170" s="4"/>
      <c r="AQ170" s="4"/>
      <c r="AR170" s="4"/>
      <c r="AS170" s="4"/>
      <c r="AT170" s="4"/>
      <c r="AU170" s="4"/>
      <c r="AV170" s="4"/>
      <c r="AW170" s="2" t="str">
        <f t="shared" si="82"/>
        <v/>
      </c>
      <c r="AX170" s="23" t="str">
        <f t="shared" si="83"/>
        <v/>
      </c>
      <c r="AY170" s="4">
        <f t="shared" si="84"/>
        <v>18</v>
      </c>
      <c r="AZ170" s="1" t="str">
        <f t="shared" si="85"/>
        <v/>
      </c>
      <c r="BA170" s="4"/>
      <c r="BB170" s="4"/>
      <c r="BC170" s="4"/>
      <c r="BD170" s="4"/>
      <c r="BE170" s="4"/>
      <c r="BF170" s="4"/>
      <c r="BG170" s="4"/>
      <c r="BH170" s="25" t="str">
        <f t="shared" si="86"/>
        <v/>
      </c>
      <c r="BI170" s="25" t="str">
        <f t="shared" si="87"/>
        <v/>
      </c>
      <c r="BJ170" s="4">
        <f t="shared" si="88"/>
        <v>18</v>
      </c>
      <c r="BK170" s="1" t="str">
        <f t="shared" si="89"/>
        <v/>
      </c>
      <c r="BL170" s="23"/>
      <c r="BM170" s="23"/>
      <c r="BN170" s="23"/>
      <c r="BO170" s="4"/>
      <c r="BP170" s="4"/>
      <c r="BQ170" s="23"/>
      <c r="BR170" s="4"/>
      <c r="BS170" s="4"/>
      <c r="BT170" s="23"/>
      <c r="BU170" s="23"/>
      <c r="BV170" s="23"/>
      <c r="BW170" s="4"/>
      <c r="BX170" s="4"/>
      <c r="BY170" s="23"/>
      <c r="BZ170" s="4"/>
      <c r="CA170" s="25" t="str">
        <f t="shared" si="90"/>
        <v/>
      </c>
      <c r="CB170" s="25" t="str">
        <f t="shared" si="91"/>
        <v/>
      </c>
      <c r="CC170" s="4">
        <f t="shared" si="92"/>
        <v>18</v>
      </c>
      <c r="CD170" s="1" t="str">
        <f t="shared" si="93"/>
        <v/>
      </c>
      <c r="CE170" s="23"/>
      <c r="CF170" s="4"/>
      <c r="CG170" s="4"/>
      <c r="CH170" s="25" t="str">
        <f t="shared" si="94"/>
        <v/>
      </c>
      <c r="CI170" s="25" t="str">
        <f t="shared" si="95"/>
        <v/>
      </c>
    </row>
    <row r="171" spans="2:87" ht="21.75" customHeight="1">
      <c r="B171" s="38">
        <v>19</v>
      </c>
      <c r="C171" s="41"/>
      <c r="D171" s="45"/>
      <c r="E171" s="45"/>
      <c r="F171" s="45"/>
      <c r="G171" s="45"/>
      <c r="H171" s="45"/>
      <c r="I171" s="45"/>
      <c r="J171" s="45"/>
      <c r="K171" s="38"/>
      <c r="L171" s="38"/>
      <c r="M171" s="38"/>
      <c r="N171" s="45"/>
      <c r="O171" s="45"/>
      <c r="R171" s="4">
        <f t="shared" si="72"/>
        <v>19</v>
      </c>
      <c r="S171" s="1" t="str">
        <f t="shared" si="73"/>
        <v/>
      </c>
      <c r="T171" s="4"/>
      <c r="U171" s="4"/>
      <c r="V171" s="4"/>
      <c r="W171" s="4"/>
      <c r="X171" s="4"/>
      <c r="Y171" s="4"/>
      <c r="Z171" s="4"/>
      <c r="AA171" s="2" t="str">
        <f t="shared" si="74"/>
        <v/>
      </c>
      <c r="AB171" s="2" t="str">
        <f t="shared" si="75"/>
        <v/>
      </c>
      <c r="AC171" s="4">
        <f t="shared" si="76"/>
        <v>19</v>
      </c>
      <c r="AD171" s="1" t="str">
        <f t="shared" si="77"/>
        <v/>
      </c>
      <c r="AE171" s="4"/>
      <c r="AF171" s="4"/>
      <c r="AG171" s="4"/>
      <c r="AH171" s="4"/>
      <c r="AI171" s="4"/>
      <c r="AJ171" s="4"/>
      <c r="AK171" s="4"/>
      <c r="AL171" s="2" t="str">
        <f t="shared" si="78"/>
        <v/>
      </c>
      <c r="AM171" s="2" t="str">
        <f t="shared" si="79"/>
        <v/>
      </c>
      <c r="AN171" s="4">
        <f t="shared" si="80"/>
        <v>19</v>
      </c>
      <c r="AO171" s="1" t="str">
        <f t="shared" si="81"/>
        <v/>
      </c>
      <c r="AP171" s="4"/>
      <c r="AQ171" s="4"/>
      <c r="AR171" s="4"/>
      <c r="AS171" s="4"/>
      <c r="AT171" s="4"/>
      <c r="AU171" s="4"/>
      <c r="AV171" s="4"/>
      <c r="AW171" s="2" t="str">
        <f t="shared" si="82"/>
        <v/>
      </c>
      <c r="AX171" s="23" t="str">
        <f t="shared" si="83"/>
        <v/>
      </c>
      <c r="AY171" s="4">
        <f t="shared" si="84"/>
        <v>19</v>
      </c>
      <c r="AZ171" s="1" t="str">
        <f t="shared" si="85"/>
        <v/>
      </c>
      <c r="BA171" s="4"/>
      <c r="BB171" s="4"/>
      <c r="BC171" s="4"/>
      <c r="BD171" s="4"/>
      <c r="BE171" s="4"/>
      <c r="BF171" s="4"/>
      <c r="BG171" s="4"/>
      <c r="BH171" s="2" t="str">
        <f t="shared" si="86"/>
        <v/>
      </c>
      <c r="BI171" s="2" t="str">
        <f t="shared" si="87"/>
        <v/>
      </c>
      <c r="BJ171" s="4">
        <f t="shared" si="88"/>
        <v>19</v>
      </c>
      <c r="BK171" s="1" t="str">
        <f t="shared" si="89"/>
        <v/>
      </c>
      <c r="BL171" s="23"/>
      <c r="BM171" s="23"/>
      <c r="BN171" s="23"/>
      <c r="BO171" s="4"/>
      <c r="BP171" s="4"/>
      <c r="BQ171" s="23"/>
      <c r="BR171" s="4"/>
      <c r="BS171" s="4"/>
      <c r="BT171" s="23"/>
      <c r="BU171" s="23"/>
      <c r="BV171" s="23"/>
      <c r="BW171" s="4"/>
      <c r="BX171" s="4"/>
      <c r="BY171" s="23"/>
      <c r="BZ171" s="4"/>
      <c r="CA171" s="2" t="str">
        <f t="shared" si="90"/>
        <v/>
      </c>
      <c r="CB171" s="2" t="str">
        <f t="shared" si="91"/>
        <v/>
      </c>
      <c r="CC171" s="4">
        <f t="shared" si="92"/>
        <v>19</v>
      </c>
      <c r="CD171" s="1" t="str">
        <f t="shared" si="93"/>
        <v/>
      </c>
      <c r="CE171" s="23"/>
      <c r="CF171" s="4"/>
      <c r="CG171" s="4"/>
      <c r="CH171" s="2" t="str">
        <f t="shared" si="94"/>
        <v/>
      </c>
      <c r="CI171" s="2" t="str">
        <f t="shared" si="95"/>
        <v/>
      </c>
    </row>
    <row r="172" spans="2:87" ht="21.75" customHeight="1">
      <c r="B172" s="38">
        <v>20</v>
      </c>
      <c r="C172" s="41"/>
      <c r="D172" s="45"/>
      <c r="E172" s="45"/>
      <c r="F172" s="45"/>
      <c r="G172" s="45"/>
      <c r="H172" s="45"/>
      <c r="I172" s="45"/>
      <c r="J172" s="45"/>
      <c r="K172" s="38"/>
      <c r="L172" s="38"/>
      <c r="M172" s="38"/>
      <c r="N172" s="45"/>
      <c r="O172" s="45"/>
      <c r="R172" s="4">
        <f t="shared" si="72"/>
        <v>20</v>
      </c>
      <c r="S172" s="1" t="str">
        <f t="shared" si="73"/>
        <v/>
      </c>
      <c r="T172" s="4"/>
      <c r="U172" s="4"/>
      <c r="V172" s="4"/>
      <c r="W172" s="4"/>
      <c r="X172" s="4"/>
      <c r="Y172" s="4"/>
      <c r="Z172" s="4"/>
      <c r="AA172" s="2" t="str">
        <f t="shared" si="74"/>
        <v/>
      </c>
      <c r="AB172" s="2" t="str">
        <f t="shared" si="75"/>
        <v/>
      </c>
      <c r="AC172" s="4">
        <f t="shared" si="76"/>
        <v>20</v>
      </c>
      <c r="AD172" s="1" t="str">
        <f t="shared" si="77"/>
        <v/>
      </c>
      <c r="AE172" s="4"/>
      <c r="AF172" s="4"/>
      <c r="AG172" s="4"/>
      <c r="AH172" s="4"/>
      <c r="AI172" s="4"/>
      <c r="AJ172" s="4"/>
      <c r="AK172" s="4"/>
      <c r="AL172" s="2" t="str">
        <f t="shared" si="78"/>
        <v/>
      </c>
      <c r="AM172" s="2" t="str">
        <f t="shared" si="79"/>
        <v/>
      </c>
      <c r="AN172" s="4">
        <f t="shared" si="80"/>
        <v>20</v>
      </c>
      <c r="AO172" s="1" t="str">
        <f t="shared" si="81"/>
        <v/>
      </c>
      <c r="AP172" s="4"/>
      <c r="AQ172" s="4"/>
      <c r="AR172" s="4"/>
      <c r="AS172" s="4"/>
      <c r="AT172" s="4"/>
      <c r="AU172" s="4"/>
      <c r="AV172" s="4"/>
      <c r="AW172" s="2" t="str">
        <f t="shared" si="82"/>
        <v/>
      </c>
      <c r="AX172" s="23" t="str">
        <f t="shared" si="83"/>
        <v/>
      </c>
      <c r="AY172" s="4">
        <f t="shared" si="84"/>
        <v>20</v>
      </c>
      <c r="AZ172" s="1" t="str">
        <f t="shared" si="85"/>
        <v/>
      </c>
      <c r="BA172" s="4"/>
      <c r="BB172" s="4"/>
      <c r="BC172" s="4"/>
      <c r="BD172" s="4"/>
      <c r="BE172" s="4"/>
      <c r="BF172" s="4"/>
      <c r="BG172" s="4"/>
      <c r="BH172" s="2" t="str">
        <f t="shared" si="86"/>
        <v/>
      </c>
      <c r="BI172" s="2" t="str">
        <f t="shared" si="87"/>
        <v/>
      </c>
      <c r="BJ172" s="4">
        <f t="shared" si="88"/>
        <v>20</v>
      </c>
      <c r="BK172" s="1" t="str">
        <f t="shared" si="89"/>
        <v/>
      </c>
      <c r="BL172" s="23"/>
      <c r="BM172" s="23"/>
      <c r="BN172" s="23"/>
      <c r="BO172" s="4"/>
      <c r="BP172" s="4"/>
      <c r="BQ172" s="23"/>
      <c r="BR172" s="4"/>
      <c r="BS172" s="4"/>
      <c r="BT172" s="23"/>
      <c r="BU172" s="23"/>
      <c r="BV172" s="23"/>
      <c r="BW172" s="4"/>
      <c r="BX172" s="4"/>
      <c r="BY172" s="23"/>
      <c r="BZ172" s="4"/>
      <c r="CA172" s="2" t="str">
        <f t="shared" si="90"/>
        <v/>
      </c>
      <c r="CB172" s="2" t="str">
        <f t="shared" si="91"/>
        <v/>
      </c>
      <c r="CC172" s="4">
        <f t="shared" si="92"/>
        <v>20</v>
      </c>
      <c r="CD172" s="1" t="str">
        <f t="shared" si="93"/>
        <v/>
      </c>
      <c r="CE172" s="23"/>
      <c r="CF172" s="4"/>
      <c r="CG172" s="4"/>
      <c r="CH172" s="2" t="str">
        <f t="shared" si="94"/>
        <v/>
      </c>
      <c r="CI172" s="2" t="str">
        <f t="shared" si="95"/>
        <v/>
      </c>
    </row>
    <row r="173" spans="2:87" ht="21.75" customHeight="1">
      <c r="B173" s="38">
        <v>21</v>
      </c>
      <c r="C173" s="41"/>
      <c r="D173" s="45"/>
      <c r="E173" s="45"/>
      <c r="F173" s="45"/>
      <c r="G173" s="45"/>
      <c r="H173" s="45"/>
      <c r="I173" s="45"/>
      <c r="J173" s="45"/>
      <c r="K173" s="38"/>
      <c r="L173" s="38"/>
      <c r="M173" s="38"/>
      <c r="N173" s="45"/>
      <c r="O173" s="45"/>
      <c r="R173" s="4">
        <f t="shared" si="72"/>
        <v>21</v>
      </c>
      <c r="S173" s="1" t="str">
        <f t="shared" si="73"/>
        <v/>
      </c>
      <c r="T173" s="4"/>
      <c r="U173" s="4"/>
      <c r="V173" s="4"/>
      <c r="W173" s="4"/>
      <c r="X173" s="4"/>
      <c r="Y173" s="4"/>
      <c r="Z173" s="4"/>
      <c r="AA173" s="2" t="str">
        <f t="shared" si="74"/>
        <v/>
      </c>
      <c r="AB173" s="2" t="str">
        <f t="shared" si="75"/>
        <v/>
      </c>
      <c r="AC173" s="4">
        <f t="shared" si="76"/>
        <v>21</v>
      </c>
      <c r="AD173" s="1" t="str">
        <f t="shared" si="77"/>
        <v/>
      </c>
      <c r="AE173" s="4"/>
      <c r="AF173" s="4"/>
      <c r="AG173" s="4"/>
      <c r="AH173" s="4"/>
      <c r="AI173" s="4"/>
      <c r="AJ173" s="4"/>
      <c r="AK173" s="4"/>
      <c r="AL173" s="2" t="str">
        <f t="shared" si="78"/>
        <v/>
      </c>
      <c r="AM173" s="2" t="str">
        <f t="shared" si="79"/>
        <v/>
      </c>
      <c r="AN173" s="4">
        <f t="shared" si="80"/>
        <v>21</v>
      </c>
      <c r="AO173" s="1" t="str">
        <f t="shared" si="81"/>
        <v/>
      </c>
      <c r="AP173" s="4"/>
      <c r="AQ173" s="4"/>
      <c r="AR173" s="4"/>
      <c r="AS173" s="4"/>
      <c r="AT173" s="4"/>
      <c r="AU173" s="4"/>
      <c r="AV173" s="4"/>
      <c r="AW173" s="2" t="str">
        <f t="shared" si="82"/>
        <v/>
      </c>
      <c r="AX173" s="23" t="str">
        <f t="shared" si="83"/>
        <v/>
      </c>
      <c r="AY173" s="4">
        <f t="shared" si="84"/>
        <v>21</v>
      </c>
      <c r="AZ173" s="1" t="str">
        <f t="shared" si="85"/>
        <v/>
      </c>
      <c r="BA173" s="4"/>
      <c r="BB173" s="4"/>
      <c r="BC173" s="4"/>
      <c r="BD173" s="4"/>
      <c r="BE173" s="4"/>
      <c r="BF173" s="4"/>
      <c r="BG173" s="4"/>
      <c r="BH173" s="2" t="str">
        <f t="shared" si="86"/>
        <v/>
      </c>
      <c r="BI173" s="2" t="str">
        <f t="shared" si="87"/>
        <v/>
      </c>
      <c r="BJ173" s="4">
        <f t="shared" si="88"/>
        <v>21</v>
      </c>
      <c r="BK173" s="1" t="str">
        <f t="shared" si="89"/>
        <v/>
      </c>
      <c r="BL173" s="23"/>
      <c r="BM173" s="23"/>
      <c r="BN173" s="23"/>
      <c r="BO173" s="4"/>
      <c r="BP173" s="4"/>
      <c r="BQ173" s="23"/>
      <c r="BR173" s="4"/>
      <c r="BS173" s="4"/>
      <c r="BT173" s="23"/>
      <c r="BU173" s="23"/>
      <c r="BV173" s="23"/>
      <c r="BW173" s="4"/>
      <c r="BX173" s="4"/>
      <c r="BY173" s="23"/>
      <c r="BZ173" s="4"/>
      <c r="CA173" s="2" t="str">
        <f t="shared" si="90"/>
        <v/>
      </c>
      <c r="CB173" s="2" t="str">
        <f t="shared" si="91"/>
        <v/>
      </c>
      <c r="CC173" s="4">
        <f t="shared" si="92"/>
        <v>21</v>
      </c>
      <c r="CD173" s="1" t="str">
        <f t="shared" si="93"/>
        <v/>
      </c>
      <c r="CE173" s="23"/>
      <c r="CF173" s="4"/>
      <c r="CG173" s="4"/>
      <c r="CH173" s="2" t="str">
        <f t="shared" si="94"/>
        <v/>
      </c>
      <c r="CI173" s="2" t="str">
        <f t="shared" si="95"/>
        <v/>
      </c>
    </row>
    <row r="174" spans="2:87" ht="21.75" customHeight="1">
      <c r="B174" s="38">
        <v>22</v>
      </c>
      <c r="C174" s="41"/>
      <c r="D174" s="45"/>
      <c r="E174" s="45"/>
      <c r="F174" s="45"/>
      <c r="G174" s="45"/>
      <c r="H174" s="45"/>
      <c r="I174" s="45"/>
      <c r="J174" s="45"/>
      <c r="K174" s="39"/>
      <c r="L174" s="39"/>
      <c r="M174" s="39"/>
      <c r="N174" s="45"/>
      <c r="O174" s="45"/>
      <c r="R174" s="4">
        <f t="shared" si="72"/>
        <v>22</v>
      </c>
      <c r="S174" s="1" t="str">
        <f t="shared" si="73"/>
        <v/>
      </c>
      <c r="T174" s="4"/>
      <c r="U174" s="4"/>
      <c r="V174" s="4"/>
      <c r="W174" s="4"/>
      <c r="X174" s="4"/>
      <c r="Y174" s="4"/>
      <c r="Z174" s="4"/>
      <c r="AA174" s="2" t="str">
        <f t="shared" si="74"/>
        <v/>
      </c>
      <c r="AB174" s="2" t="str">
        <f t="shared" si="75"/>
        <v/>
      </c>
      <c r="AC174" s="4">
        <f t="shared" si="76"/>
        <v>22</v>
      </c>
      <c r="AD174" s="1" t="str">
        <f t="shared" si="77"/>
        <v/>
      </c>
      <c r="AE174" s="4"/>
      <c r="AF174" s="4"/>
      <c r="AG174" s="4"/>
      <c r="AH174" s="4"/>
      <c r="AI174" s="4"/>
      <c r="AJ174" s="4"/>
      <c r="AK174" s="4"/>
      <c r="AL174" s="2" t="str">
        <f t="shared" si="78"/>
        <v/>
      </c>
      <c r="AM174" s="2" t="str">
        <f t="shared" si="79"/>
        <v/>
      </c>
      <c r="AN174" s="4">
        <f t="shared" si="80"/>
        <v>22</v>
      </c>
      <c r="AO174" s="1" t="str">
        <f t="shared" si="81"/>
        <v/>
      </c>
      <c r="AP174" s="4"/>
      <c r="AQ174" s="4"/>
      <c r="AR174" s="4"/>
      <c r="AS174" s="4"/>
      <c r="AT174" s="4"/>
      <c r="AU174" s="4"/>
      <c r="AV174" s="4"/>
      <c r="AW174" s="2" t="str">
        <f t="shared" si="82"/>
        <v/>
      </c>
      <c r="AX174" s="23" t="str">
        <f t="shared" si="83"/>
        <v/>
      </c>
      <c r="AY174" s="4">
        <f t="shared" si="84"/>
        <v>22</v>
      </c>
      <c r="AZ174" s="1" t="str">
        <f t="shared" si="85"/>
        <v/>
      </c>
      <c r="BA174" s="4"/>
      <c r="BB174" s="4"/>
      <c r="BC174" s="4"/>
      <c r="BD174" s="4"/>
      <c r="BE174" s="4"/>
      <c r="BF174" s="4"/>
      <c r="BG174" s="4"/>
      <c r="BH174" s="2" t="str">
        <f t="shared" si="86"/>
        <v/>
      </c>
      <c r="BI174" s="2" t="str">
        <f t="shared" si="87"/>
        <v/>
      </c>
      <c r="BJ174" s="4">
        <f t="shared" si="88"/>
        <v>22</v>
      </c>
      <c r="BK174" s="1" t="str">
        <f t="shared" si="89"/>
        <v/>
      </c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2" t="str">
        <f t="shared" si="90"/>
        <v/>
      </c>
      <c r="CB174" s="2" t="str">
        <f t="shared" si="91"/>
        <v/>
      </c>
      <c r="CC174" s="4">
        <f t="shared" si="92"/>
        <v>22</v>
      </c>
      <c r="CD174" s="1" t="str">
        <f t="shared" si="93"/>
        <v/>
      </c>
      <c r="CE174" s="4"/>
      <c r="CF174" s="4"/>
      <c r="CG174" s="4"/>
      <c r="CH174" s="2" t="str">
        <f t="shared" si="94"/>
        <v/>
      </c>
      <c r="CI174" s="2" t="str">
        <f t="shared" si="95"/>
        <v/>
      </c>
    </row>
    <row r="175" spans="2:87" ht="21.75" customHeight="1">
      <c r="B175" s="38">
        <v>23</v>
      </c>
      <c r="C175" s="41"/>
      <c r="D175" s="45"/>
      <c r="E175" s="45"/>
      <c r="F175" s="45"/>
      <c r="G175" s="45"/>
      <c r="H175" s="45"/>
      <c r="I175" s="45"/>
      <c r="J175" s="45"/>
      <c r="K175" s="39"/>
      <c r="L175" s="39"/>
      <c r="M175" s="39"/>
      <c r="N175" s="45"/>
      <c r="O175" s="45"/>
      <c r="R175" s="4">
        <f t="shared" si="72"/>
        <v>23</v>
      </c>
      <c r="S175" s="1" t="str">
        <f t="shared" si="73"/>
        <v/>
      </c>
      <c r="T175" s="4"/>
      <c r="U175" s="4"/>
      <c r="V175" s="4"/>
      <c r="W175" s="4"/>
      <c r="X175" s="4"/>
      <c r="Y175" s="4"/>
      <c r="Z175" s="4"/>
      <c r="AA175" s="2" t="str">
        <f t="shared" si="74"/>
        <v/>
      </c>
      <c r="AB175" s="2" t="str">
        <f t="shared" si="75"/>
        <v/>
      </c>
      <c r="AC175" s="4">
        <f t="shared" si="76"/>
        <v>23</v>
      </c>
      <c r="AD175" s="1" t="str">
        <f t="shared" si="77"/>
        <v/>
      </c>
      <c r="AE175" s="4"/>
      <c r="AF175" s="4"/>
      <c r="AG175" s="4"/>
      <c r="AH175" s="4"/>
      <c r="AI175" s="4"/>
      <c r="AJ175" s="4"/>
      <c r="AK175" s="4"/>
      <c r="AL175" s="2" t="str">
        <f t="shared" si="78"/>
        <v/>
      </c>
      <c r="AM175" s="2" t="str">
        <f t="shared" si="79"/>
        <v/>
      </c>
      <c r="AN175" s="4">
        <f t="shared" si="80"/>
        <v>23</v>
      </c>
      <c r="AO175" s="1" t="str">
        <f t="shared" si="81"/>
        <v/>
      </c>
      <c r="AP175" s="4"/>
      <c r="AQ175" s="4"/>
      <c r="AR175" s="4"/>
      <c r="AS175" s="4"/>
      <c r="AT175" s="4"/>
      <c r="AU175" s="4"/>
      <c r="AV175" s="4"/>
      <c r="AW175" s="2" t="str">
        <f t="shared" si="82"/>
        <v/>
      </c>
      <c r="AX175" s="23" t="str">
        <f t="shared" si="83"/>
        <v/>
      </c>
      <c r="AY175" s="4">
        <f t="shared" si="84"/>
        <v>23</v>
      </c>
      <c r="AZ175" s="1" t="str">
        <f t="shared" si="85"/>
        <v/>
      </c>
      <c r="BA175" s="4"/>
      <c r="BB175" s="4"/>
      <c r="BC175" s="4"/>
      <c r="BD175" s="4"/>
      <c r="BE175" s="4"/>
      <c r="BF175" s="4"/>
      <c r="BG175" s="4"/>
      <c r="BH175" s="2" t="str">
        <f t="shared" si="86"/>
        <v/>
      </c>
      <c r="BI175" s="2" t="str">
        <f t="shared" si="87"/>
        <v/>
      </c>
      <c r="BJ175" s="4">
        <f t="shared" si="88"/>
        <v>23</v>
      </c>
      <c r="BK175" s="1" t="str">
        <f t="shared" si="89"/>
        <v/>
      </c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2" t="str">
        <f t="shared" si="90"/>
        <v/>
      </c>
      <c r="CB175" s="2" t="str">
        <f t="shared" si="91"/>
        <v/>
      </c>
      <c r="CC175" s="4">
        <f t="shared" si="92"/>
        <v>23</v>
      </c>
      <c r="CD175" s="1" t="str">
        <f t="shared" si="93"/>
        <v/>
      </c>
      <c r="CE175" s="4"/>
      <c r="CF175" s="4"/>
      <c r="CG175" s="4"/>
      <c r="CH175" s="2" t="str">
        <f t="shared" si="94"/>
        <v/>
      </c>
      <c r="CI175" s="2" t="str">
        <f t="shared" si="95"/>
        <v/>
      </c>
    </row>
    <row r="176" spans="2:87" ht="21.75" customHeight="1">
      <c r="B176" s="38">
        <v>24</v>
      </c>
      <c r="C176" s="41"/>
      <c r="D176" s="45"/>
      <c r="E176" s="45"/>
      <c r="F176" s="45"/>
      <c r="G176" s="45"/>
      <c r="H176" s="45"/>
      <c r="I176" s="45"/>
      <c r="J176" s="45"/>
      <c r="K176" s="39"/>
      <c r="L176" s="39"/>
      <c r="M176" s="39"/>
      <c r="N176" s="45"/>
      <c r="O176" s="45"/>
      <c r="R176" s="4">
        <f t="shared" si="72"/>
        <v>24</v>
      </c>
      <c r="S176" s="1" t="str">
        <f t="shared" si="73"/>
        <v/>
      </c>
      <c r="T176" s="4"/>
      <c r="U176" s="4"/>
      <c r="V176" s="4"/>
      <c r="W176" s="4"/>
      <c r="X176" s="4"/>
      <c r="Y176" s="4"/>
      <c r="Z176" s="4"/>
      <c r="AA176" s="2" t="str">
        <f t="shared" si="74"/>
        <v/>
      </c>
      <c r="AB176" s="2" t="str">
        <f t="shared" si="75"/>
        <v/>
      </c>
      <c r="AC176" s="4">
        <f t="shared" si="76"/>
        <v>24</v>
      </c>
      <c r="AD176" s="1" t="str">
        <f t="shared" si="77"/>
        <v/>
      </c>
      <c r="AE176" s="4"/>
      <c r="AF176" s="4"/>
      <c r="AG176" s="4"/>
      <c r="AH176" s="4"/>
      <c r="AI176" s="4"/>
      <c r="AJ176" s="4"/>
      <c r="AK176" s="4"/>
      <c r="AL176" s="2" t="str">
        <f t="shared" si="78"/>
        <v/>
      </c>
      <c r="AM176" s="2" t="str">
        <f t="shared" si="79"/>
        <v/>
      </c>
      <c r="AN176" s="4">
        <f t="shared" si="80"/>
        <v>24</v>
      </c>
      <c r="AO176" s="1" t="str">
        <f t="shared" si="81"/>
        <v/>
      </c>
      <c r="AP176" s="4"/>
      <c r="AQ176" s="4"/>
      <c r="AR176" s="4"/>
      <c r="AS176" s="4"/>
      <c r="AT176" s="4"/>
      <c r="AU176" s="4"/>
      <c r="AV176" s="4"/>
      <c r="AW176" s="2" t="str">
        <f t="shared" si="82"/>
        <v/>
      </c>
      <c r="AX176" s="23" t="str">
        <f t="shared" si="83"/>
        <v/>
      </c>
      <c r="AY176" s="4">
        <f t="shared" si="84"/>
        <v>24</v>
      </c>
      <c r="AZ176" s="1" t="str">
        <f t="shared" si="85"/>
        <v/>
      </c>
      <c r="BA176" s="4"/>
      <c r="BB176" s="4"/>
      <c r="BC176" s="4"/>
      <c r="BD176" s="4"/>
      <c r="BE176" s="4"/>
      <c r="BF176" s="4"/>
      <c r="BG176" s="4"/>
      <c r="BH176" s="2" t="str">
        <f t="shared" si="86"/>
        <v/>
      </c>
      <c r="BI176" s="2" t="str">
        <f t="shared" si="87"/>
        <v/>
      </c>
      <c r="BJ176" s="4">
        <f t="shared" si="88"/>
        <v>24</v>
      </c>
      <c r="BK176" s="1" t="str">
        <f t="shared" si="89"/>
        <v/>
      </c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2" t="str">
        <f t="shared" si="90"/>
        <v/>
      </c>
      <c r="CB176" s="2" t="str">
        <f t="shared" si="91"/>
        <v/>
      </c>
      <c r="CC176" s="4">
        <f t="shared" si="92"/>
        <v>24</v>
      </c>
      <c r="CD176" s="1" t="str">
        <f t="shared" si="93"/>
        <v/>
      </c>
      <c r="CE176" s="4"/>
      <c r="CF176" s="4"/>
      <c r="CG176" s="4"/>
      <c r="CH176" s="2" t="str">
        <f t="shared" si="94"/>
        <v/>
      </c>
      <c r="CI176" s="2" t="str">
        <f t="shared" si="95"/>
        <v/>
      </c>
    </row>
    <row r="177" spans="2:87" ht="21.75" customHeight="1">
      <c r="B177" s="38">
        <v>25</v>
      </c>
      <c r="C177" s="41"/>
      <c r="D177" s="45"/>
      <c r="E177" s="45"/>
      <c r="F177" s="45"/>
      <c r="G177" s="45"/>
      <c r="H177" s="45"/>
      <c r="I177" s="45"/>
      <c r="J177" s="45"/>
      <c r="K177" s="39"/>
      <c r="L177" s="39"/>
      <c r="M177" s="39"/>
      <c r="N177" s="45"/>
      <c r="O177" s="45"/>
      <c r="R177" s="4">
        <f t="shared" si="72"/>
        <v>25</v>
      </c>
      <c r="S177" s="1" t="str">
        <f t="shared" si="73"/>
        <v/>
      </c>
      <c r="T177" s="4"/>
      <c r="U177" s="4"/>
      <c r="V177" s="4"/>
      <c r="W177" s="4"/>
      <c r="X177" s="4"/>
      <c r="Y177" s="4"/>
      <c r="Z177" s="4"/>
      <c r="AA177" s="2" t="str">
        <f t="shared" si="74"/>
        <v/>
      </c>
      <c r="AB177" s="2" t="str">
        <f t="shared" si="75"/>
        <v/>
      </c>
      <c r="AC177" s="4">
        <f t="shared" si="76"/>
        <v>25</v>
      </c>
      <c r="AD177" s="1" t="str">
        <f t="shared" si="77"/>
        <v/>
      </c>
      <c r="AE177" s="4"/>
      <c r="AF177" s="4"/>
      <c r="AG177" s="4"/>
      <c r="AH177" s="4"/>
      <c r="AI177" s="4"/>
      <c r="AJ177" s="4"/>
      <c r="AK177" s="4"/>
      <c r="AL177" s="2" t="str">
        <f t="shared" si="78"/>
        <v/>
      </c>
      <c r="AM177" s="2" t="str">
        <f t="shared" si="79"/>
        <v/>
      </c>
      <c r="AN177" s="4">
        <f t="shared" si="80"/>
        <v>25</v>
      </c>
      <c r="AO177" s="1" t="str">
        <f t="shared" si="81"/>
        <v/>
      </c>
      <c r="AP177" s="4"/>
      <c r="AQ177" s="4"/>
      <c r="AR177" s="4"/>
      <c r="AS177" s="4"/>
      <c r="AT177" s="4"/>
      <c r="AU177" s="4"/>
      <c r="AV177" s="4"/>
      <c r="AW177" s="2" t="str">
        <f t="shared" si="82"/>
        <v/>
      </c>
      <c r="AX177" s="23" t="str">
        <f t="shared" si="83"/>
        <v/>
      </c>
      <c r="AY177" s="4">
        <f t="shared" si="84"/>
        <v>25</v>
      </c>
      <c r="AZ177" s="1" t="str">
        <f t="shared" si="85"/>
        <v/>
      </c>
      <c r="BA177" s="4"/>
      <c r="BB177" s="4"/>
      <c r="BC177" s="4"/>
      <c r="BD177" s="4"/>
      <c r="BE177" s="4"/>
      <c r="BF177" s="4"/>
      <c r="BG177" s="4"/>
      <c r="BH177" s="2" t="str">
        <f t="shared" si="86"/>
        <v/>
      </c>
      <c r="BI177" s="2" t="str">
        <f t="shared" si="87"/>
        <v/>
      </c>
      <c r="BJ177" s="4">
        <f t="shared" si="88"/>
        <v>25</v>
      </c>
      <c r="BK177" s="1" t="str">
        <f t="shared" si="89"/>
        <v/>
      </c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2" t="str">
        <f t="shared" si="90"/>
        <v/>
      </c>
      <c r="CB177" s="2" t="str">
        <f t="shared" si="91"/>
        <v/>
      </c>
      <c r="CC177" s="4">
        <f t="shared" si="92"/>
        <v>25</v>
      </c>
      <c r="CD177" s="1" t="str">
        <f t="shared" si="93"/>
        <v/>
      </c>
      <c r="CE177" s="4"/>
      <c r="CF177" s="4"/>
      <c r="CG177" s="4"/>
      <c r="CH177" s="2" t="str">
        <f t="shared" si="94"/>
        <v/>
      </c>
      <c r="CI177" s="2" t="str">
        <f t="shared" si="95"/>
        <v/>
      </c>
    </row>
    <row r="178" spans="2:87" ht="21.75" customHeight="1">
      <c r="B178" s="38">
        <v>26</v>
      </c>
      <c r="C178" s="41"/>
      <c r="D178" s="45"/>
      <c r="E178" s="45"/>
      <c r="F178" s="45"/>
      <c r="G178" s="45"/>
      <c r="H178" s="45"/>
      <c r="I178" s="45"/>
      <c r="J178" s="45"/>
      <c r="K178" s="39"/>
      <c r="L178" s="39"/>
      <c r="M178" s="39"/>
      <c r="N178" s="45"/>
      <c r="O178" s="45"/>
      <c r="R178" s="4">
        <f t="shared" si="72"/>
        <v>26</v>
      </c>
      <c r="S178" s="1" t="str">
        <f t="shared" si="73"/>
        <v/>
      </c>
      <c r="T178" s="4"/>
      <c r="U178" s="4"/>
      <c r="V178" s="4"/>
      <c r="W178" s="4"/>
      <c r="X178" s="4"/>
      <c r="Y178" s="4"/>
      <c r="Z178" s="4"/>
      <c r="AA178" s="2" t="str">
        <f t="shared" si="74"/>
        <v/>
      </c>
      <c r="AB178" s="2" t="str">
        <f t="shared" si="75"/>
        <v/>
      </c>
      <c r="AC178" s="4">
        <f t="shared" si="76"/>
        <v>26</v>
      </c>
      <c r="AD178" s="1" t="str">
        <f t="shared" si="77"/>
        <v/>
      </c>
      <c r="AE178" s="4"/>
      <c r="AF178" s="4"/>
      <c r="AG178" s="4"/>
      <c r="AH178" s="4"/>
      <c r="AI178" s="4"/>
      <c r="AJ178" s="4"/>
      <c r="AK178" s="4"/>
      <c r="AL178" s="2" t="str">
        <f t="shared" si="78"/>
        <v/>
      </c>
      <c r="AM178" s="2" t="str">
        <f t="shared" si="79"/>
        <v/>
      </c>
      <c r="AN178" s="4">
        <f t="shared" si="80"/>
        <v>26</v>
      </c>
      <c r="AO178" s="1" t="str">
        <f t="shared" si="81"/>
        <v/>
      </c>
      <c r="AP178" s="4"/>
      <c r="AQ178" s="4"/>
      <c r="AR178" s="4"/>
      <c r="AS178" s="4"/>
      <c r="AT178" s="4"/>
      <c r="AU178" s="4"/>
      <c r="AV178" s="4"/>
      <c r="AW178" s="2" t="str">
        <f t="shared" si="82"/>
        <v/>
      </c>
      <c r="AX178" s="23" t="str">
        <f t="shared" si="83"/>
        <v/>
      </c>
      <c r="AY178" s="4">
        <f t="shared" si="84"/>
        <v>26</v>
      </c>
      <c r="AZ178" s="1" t="str">
        <f t="shared" si="85"/>
        <v/>
      </c>
      <c r="BA178" s="4"/>
      <c r="BB178" s="4"/>
      <c r="BC178" s="4"/>
      <c r="BD178" s="4"/>
      <c r="BE178" s="4"/>
      <c r="BF178" s="4"/>
      <c r="BG178" s="4"/>
      <c r="BH178" s="2" t="str">
        <f t="shared" si="86"/>
        <v/>
      </c>
      <c r="BI178" s="2" t="str">
        <f t="shared" si="87"/>
        <v/>
      </c>
      <c r="BJ178" s="4">
        <f t="shared" si="88"/>
        <v>26</v>
      </c>
      <c r="BK178" s="1" t="str">
        <f t="shared" si="89"/>
        <v/>
      </c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2" t="str">
        <f t="shared" si="90"/>
        <v/>
      </c>
      <c r="CB178" s="2" t="str">
        <f t="shared" si="91"/>
        <v/>
      </c>
      <c r="CC178" s="4">
        <f t="shared" si="92"/>
        <v>26</v>
      </c>
      <c r="CD178" s="1" t="str">
        <f t="shared" si="93"/>
        <v/>
      </c>
      <c r="CE178" s="4"/>
      <c r="CF178" s="4"/>
      <c r="CG178" s="4"/>
      <c r="CH178" s="2" t="str">
        <f t="shared" si="94"/>
        <v/>
      </c>
      <c r="CI178" s="2" t="str">
        <f t="shared" si="95"/>
        <v/>
      </c>
    </row>
    <row r="179" spans="2:87" ht="21.75" customHeight="1">
      <c r="B179" s="38">
        <v>27</v>
      </c>
      <c r="C179" s="41"/>
      <c r="D179" s="45"/>
      <c r="E179" s="45"/>
      <c r="F179" s="45"/>
      <c r="G179" s="45"/>
      <c r="H179" s="45"/>
      <c r="I179" s="45"/>
      <c r="J179" s="45"/>
      <c r="K179" s="39"/>
      <c r="L179" s="39"/>
      <c r="M179" s="39"/>
      <c r="N179" s="45"/>
      <c r="O179" s="45"/>
      <c r="R179" s="4">
        <f t="shared" si="72"/>
        <v>27</v>
      </c>
      <c r="S179" s="1" t="str">
        <f t="shared" si="73"/>
        <v/>
      </c>
      <c r="T179" s="4"/>
      <c r="U179" s="4"/>
      <c r="V179" s="4"/>
      <c r="W179" s="4"/>
      <c r="X179" s="4"/>
      <c r="Y179" s="4"/>
      <c r="Z179" s="4"/>
      <c r="AA179" s="2" t="str">
        <f t="shared" si="74"/>
        <v/>
      </c>
      <c r="AB179" s="2" t="str">
        <f t="shared" si="75"/>
        <v/>
      </c>
      <c r="AC179" s="4">
        <f t="shared" si="76"/>
        <v>27</v>
      </c>
      <c r="AD179" s="1" t="str">
        <f t="shared" si="77"/>
        <v/>
      </c>
      <c r="AE179" s="4"/>
      <c r="AF179" s="4"/>
      <c r="AG179" s="4"/>
      <c r="AH179" s="4"/>
      <c r="AI179" s="4"/>
      <c r="AJ179" s="4"/>
      <c r="AK179" s="4"/>
      <c r="AL179" s="2" t="str">
        <f t="shared" si="78"/>
        <v/>
      </c>
      <c r="AM179" s="2" t="str">
        <f t="shared" si="79"/>
        <v/>
      </c>
      <c r="AN179" s="4">
        <f t="shared" si="80"/>
        <v>27</v>
      </c>
      <c r="AO179" s="1" t="str">
        <f t="shared" si="81"/>
        <v/>
      </c>
      <c r="AP179" s="4"/>
      <c r="AQ179" s="4"/>
      <c r="AR179" s="4"/>
      <c r="AS179" s="4"/>
      <c r="AT179" s="4"/>
      <c r="AU179" s="4"/>
      <c r="AV179" s="4"/>
      <c r="AW179" s="2" t="str">
        <f t="shared" si="82"/>
        <v/>
      </c>
      <c r="AX179" s="23" t="str">
        <f t="shared" si="83"/>
        <v/>
      </c>
      <c r="AY179" s="4">
        <f t="shared" si="84"/>
        <v>27</v>
      </c>
      <c r="AZ179" s="1" t="str">
        <f t="shared" si="85"/>
        <v/>
      </c>
      <c r="BA179" s="4"/>
      <c r="BB179" s="4"/>
      <c r="BC179" s="4"/>
      <c r="BD179" s="4"/>
      <c r="BE179" s="4"/>
      <c r="BF179" s="4"/>
      <c r="BG179" s="4"/>
      <c r="BH179" s="2" t="str">
        <f t="shared" si="86"/>
        <v/>
      </c>
      <c r="BI179" s="2" t="str">
        <f t="shared" si="87"/>
        <v/>
      </c>
      <c r="BJ179" s="4">
        <f t="shared" si="88"/>
        <v>27</v>
      </c>
      <c r="BK179" s="1" t="str">
        <f t="shared" si="89"/>
        <v/>
      </c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2" t="str">
        <f t="shared" si="90"/>
        <v/>
      </c>
      <c r="CB179" s="2" t="str">
        <f t="shared" si="91"/>
        <v/>
      </c>
      <c r="CC179" s="4">
        <f t="shared" si="92"/>
        <v>27</v>
      </c>
      <c r="CD179" s="1" t="str">
        <f t="shared" si="93"/>
        <v/>
      </c>
      <c r="CE179" s="4"/>
      <c r="CF179" s="4"/>
      <c r="CG179" s="4"/>
      <c r="CH179" s="2" t="str">
        <f t="shared" si="94"/>
        <v/>
      </c>
      <c r="CI179" s="2" t="str">
        <f t="shared" si="95"/>
        <v/>
      </c>
    </row>
    <row r="180" spans="2:87" ht="21.75" customHeight="1">
      <c r="B180" s="38">
        <v>28</v>
      </c>
      <c r="C180" s="41"/>
      <c r="D180" s="45"/>
      <c r="E180" s="45"/>
      <c r="F180" s="45"/>
      <c r="G180" s="45"/>
      <c r="H180" s="45"/>
      <c r="I180" s="45"/>
      <c r="J180" s="45"/>
      <c r="K180" s="39"/>
      <c r="L180" s="39"/>
      <c r="M180" s="39"/>
      <c r="N180" s="45"/>
      <c r="O180" s="45"/>
      <c r="R180" s="4">
        <f t="shared" si="72"/>
        <v>28</v>
      </c>
      <c r="S180" s="1" t="str">
        <f t="shared" si="73"/>
        <v/>
      </c>
      <c r="T180" s="4"/>
      <c r="U180" s="4"/>
      <c r="V180" s="4"/>
      <c r="W180" s="4"/>
      <c r="X180" s="4"/>
      <c r="Y180" s="4"/>
      <c r="Z180" s="4"/>
      <c r="AA180" s="2" t="str">
        <f t="shared" si="74"/>
        <v/>
      </c>
      <c r="AB180" s="2" t="str">
        <f t="shared" si="75"/>
        <v/>
      </c>
      <c r="AC180" s="4">
        <f t="shared" si="76"/>
        <v>28</v>
      </c>
      <c r="AD180" s="1" t="str">
        <f t="shared" si="77"/>
        <v/>
      </c>
      <c r="AE180" s="4"/>
      <c r="AF180" s="4"/>
      <c r="AG180" s="4"/>
      <c r="AH180" s="4"/>
      <c r="AI180" s="4"/>
      <c r="AJ180" s="4"/>
      <c r="AK180" s="4"/>
      <c r="AL180" s="2" t="str">
        <f t="shared" si="78"/>
        <v/>
      </c>
      <c r="AM180" s="2" t="str">
        <f t="shared" si="79"/>
        <v/>
      </c>
      <c r="AN180" s="4">
        <f t="shared" si="80"/>
        <v>28</v>
      </c>
      <c r="AO180" s="1" t="str">
        <f t="shared" si="81"/>
        <v/>
      </c>
      <c r="AP180" s="4"/>
      <c r="AQ180" s="4"/>
      <c r="AR180" s="4"/>
      <c r="AS180" s="4"/>
      <c r="AT180" s="4"/>
      <c r="AU180" s="4"/>
      <c r="AV180" s="4"/>
      <c r="AW180" s="2" t="str">
        <f t="shared" si="82"/>
        <v/>
      </c>
      <c r="AX180" s="23" t="str">
        <f t="shared" si="83"/>
        <v/>
      </c>
      <c r="AY180" s="4">
        <f t="shared" si="84"/>
        <v>28</v>
      </c>
      <c r="AZ180" s="1" t="str">
        <f t="shared" si="85"/>
        <v/>
      </c>
      <c r="BA180" s="4"/>
      <c r="BB180" s="4"/>
      <c r="BC180" s="4"/>
      <c r="BD180" s="4"/>
      <c r="BE180" s="4"/>
      <c r="BF180" s="4"/>
      <c r="BG180" s="4"/>
      <c r="BH180" s="2" t="str">
        <f t="shared" si="86"/>
        <v/>
      </c>
      <c r="BI180" s="2" t="str">
        <f t="shared" si="87"/>
        <v/>
      </c>
      <c r="BJ180" s="4">
        <f t="shared" si="88"/>
        <v>28</v>
      </c>
      <c r="BK180" s="1" t="str">
        <f t="shared" si="89"/>
        <v/>
      </c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2" t="str">
        <f t="shared" si="90"/>
        <v/>
      </c>
      <c r="CB180" s="2" t="str">
        <f t="shared" si="91"/>
        <v/>
      </c>
      <c r="CC180" s="4">
        <f t="shared" si="92"/>
        <v>28</v>
      </c>
      <c r="CD180" s="1" t="str">
        <f t="shared" si="93"/>
        <v/>
      </c>
      <c r="CE180" s="4"/>
      <c r="CF180" s="4"/>
      <c r="CG180" s="4"/>
      <c r="CH180" s="2" t="str">
        <f t="shared" si="94"/>
        <v/>
      </c>
      <c r="CI180" s="2" t="str">
        <f t="shared" si="95"/>
        <v/>
      </c>
    </row>
    <row r="181" spans="2:87" ht="21.75" customHeight="1">
      <c r="B181" s="38">
        <v>29</v>
      </c>
      <c r="C181" s="41"/>
      <c r="D181" s="45"/>
      <c r="E181" s="45"/>
      <c r="F181" s="45"/>
      <c r="G181" s="45"/>
      <c r="H181" s="45"/>
      <c r="I181" s="45"/>
      <c r="J181" s="45"/>
      <c r="K181" s="39"/>
      <c r="L181" s="39"/>
      <c r="M181" s="39"/>
      <c r="N181" s="45"/>
      <c r="O181" s="45"/>
      <c r="R181" s="4">
        <f t="shared" si="72"/>
        <v>29</v>
      </c>
      <c r="S181" s="1" t="str">
        <f t="shared" si="73"/>
        <v/>
      </c>
      <c r="T181" s="4"/>
      <c r="U181" s="4"/>
      <c r="V181" s="4"/>
      <c r="W181" s="4"/>
      <c r="X181" s="4"/>
      <c r="Y181" s="4"/>
      <c r="Z181" s="4"/>
      <c r="AA181" s="2" t="str">
        <f t="shared" si="74"/>
        <v/>
      </c>
      <c r="AB181" s="2" t="str">
        <f t="shared" si="75"/>
        <v/>
      </c>
      <c r="AC181" s="4">
        <f t="shared" si="76"/>
        <v>29</v>
      </c>
      <c r="AD181" s="1" t="str">
        <f t="shared" si="77"/>
        <v/>
      </c>
      <c r="AE181" s="4"/>
      <c r="AF181" s="4"/>
      <c r="AG181" s="4"/>
      <c r="AH181" s="4"/>
      <c r="AI181" s="4"/>
      <c r="AJ181" s="4"/>
      <c r="AK181" s="4"/>
      <c r="AL181" s="2" t="str">
        <f t="shared" si="78"/>
        <v/>
      </c>
      <c r="AM181" s="2" t="str">
        <f t="shared" si="79"/>
        <v/>
      </c>
      <c r="AN181" s="4">
        <f t="shared" si="80"/>
        <v>29</v>
      </c>
      <c r="AO181" s="1" t="str">
        <f t="shared" si="81"/>
        <v/>
      </c>
      <c r="AP181" s="4"/>
      <c r="AQ181" s="4"/>
      <c r="AR181" s="4"/>
      <c r="AS181" s="4"/>
      <c r="AT181" s="4"/>
      <c r="AU181" s="4"/>
      <c r="AV181" s="4"/>
      <c r="AW181" s="2" t="str">
        <f t="shared" si="82"/>
        <v/>
      </c>
      <c r="AX181" s="23" t="str">
        <f t="shared" si="83"/>
        <v/>
      </c>
      <c r="AY181" s="4">
        <f t="shared" si="84"/>
        <v>29</v>
      </c>
      <c r="AZ181" s="1" t="str">
        <f t="shared" si="85"/>
        <v/>
      </c>
      <c r="BA181" s="4"/>
      <c r="BB181" s="4"/>
      <c r="BC181" s="4"/>
      <c r="BD181" s="4"/>
      <c r="BE181" s="4"/>
      <c r="BF181" s="4"/>
      <c r="BG181" s="4"/>
      <c r="BH181" s="2" t="str">
        <f t="shared" si="86"/>
        <v/>
      </c>
      <c r="BI181" s="2" t="str">
        <f t="shared" si="87"/>
        <v/>
      </c>
      <c r="BJ181" s="4">
        <f t="shared" si="88"/>
        <v>29</v>
      </c>
      <c r="BK181" s="1" t="str">
        <f t="shared" si="89"/>
        <v/>
      </c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2" t="str">
        <f t="shared" si="90"/>
        <v/>
      </c>
      <c r="CB181" s="2" t="str">
        <f t="shared" si="91"/>
        <v/>
      </c>
      <c r="CC181" s="4">
        <f t="shared" si="92"/>
        <v>29</v>
      </c>
      <c r="CD181" s="1" t="str">
        <f t="shared" si="93"/>
        <v/>
      </c>
      <c r="CE181" s="4"/>
      <c r="CF181" s="4"/>
      <c r="CG181" s="4"/>
      <c r="CH181" s="2" t="str">
        <f t="shared" si="94"/>
        <v/>
      </c>
      <c r="CI181" s="2" t="str">
        <f t="shared" si="95"/>
        <v/>
      </c>
    </row>
    <row r="182" spans="2:87" ht="21.75" customHeight="1">
      <c r="B182" s="38">
        <v>30</v>
      </c>
      <c r="C182" s="41"/>
      <c r="D182" s="45"/>
      <c r="E182" s="45"/>
      <c r="F182" s="45"/>
      <c r="G182" s="45"/>
      <c r="H182" s="45"/>
      <c r="I182" s="45"/>
      <c r="J182" s="45"/>
      <c r="K182" s="39"/>
      <c r="L182" s="39"/>
      <c r="M182" s="39"/>
      <c r="N182" s="45"/>
      <c r="O182" s="45"/>
      <c r="R182" s="4">
        <f t="shared" si="72"/>
        <v>30</v>
      </c>
      <c r="S182" s="1" t="str">
        <f t="shared" si="73"/>
        <v/>
      </c>
      <c r="T182" s="4"/>
      <c r="U182" s="4"/>
      <c r="V182" s="4"/>
      <c r="W182" s="4"/>
      <c r="X182" s="4"/>
      <c r="Y182" s="4"/>
      <c r="Z182" s="4"/>
      <c r="AA182" s="2" t="str">
        <f t="shared" si="74"/>
        <v/>
      </c>
      <c r="AB182" s="2" t="str">
        <f t="shared" si="75"/>
        <v/>
      </c>
      <c r="AC182" s="4">
        <f t="shared" si="76"/>
        <v>30</v>
      </c>
      <c r="AD182" s="1" t="str">
        <f t="shared" si="77"/>
        <v/>
      </c>
      <c r="AE182" s="4"/>
      <c r="AF182" s="4"/>
      <c r="AG182" s="4"/>
      <c r="AH182" s="4"/>
      <c r="AI182" s="4"/>
      <c r="AJ182" s="4"/>
      <c r="AK182" s="4"/>
      <c r="AL182" s="2" t="str">
        <f t="shared" si="78"/>
        <v/>
      </c>
      <c r="AM182" s="2" t="str">
        <f t="shared" si="79"/>
        <v/>
      </c>
      <c r="AN182" s="4">
        <f t="shared" si="80"/>
        <v>30</v>
      </c>
      <c r="AO182" s="1" t="str">
        <f t="shared" si="81"/>
        <v/>
      </c>
      <c r="AP182" s="4"/>
      <c r="AQ182" s="4"/>
      <c r="AR182" s="4"/>
      <c r="AS182" s="4"/>
      <c r="AT182" s="4"/>
      <c r="AU182" s="4"/>
      <c r="AV182" s="4"/>
      <c r="AW182" s="2" t="str">
        <f t="shared" si="82"/>
        <v/>
      </c>
      <c r="AX182" s="23" t="str">
        <f t="shared" si="83"/>
        <v/>
      </c>
      <c r="AY182" s="4">
        <f t="shared" si="84"/>
        <v>30</v>
      </c>
      <c r="AZ182" s="1" t="str">
        <f t="shared" si="85"/>
        <v/>
      </c>
      <c r="BA182" s="4"/>
      <c r="BB182" s="4"/>
      <c r="BC182" s="4"/>
      <c r="BD182" s="4"/>
      <c r="BE182" s="4"/>
      <c r="BF182" s="4"/>
      <c r="BG182" s="4"/>
      <c r="BH182" s="2" t="str">
        <f t="shared" si="86"/>
        <v/>
      </c>
      <c r="BI182" s="2" t="str">
        <f t="shared" si="87"/>
        <v/>
      </c>
      <c r="BJ182" s="4">
        <f t="shared" si="88"/>
        <v>30</v>
      </c>
      <c r="BK182" s="1" t="str">
        <f t="shared" si="89"/>
        <v/>
      </c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2" t="str">
        <f t="shared" si="90"/>
        <v/>
      </c>
      <c r="CB182" s="2" t="str">
        <f t="shared" si="91"/>
        <v/>
      </c>
      <c r="CC182" s="4">
        <f t="shared" si="92"/>
        <v>30</v>
      </c>
      <c r="CD182" s="1" t="str">
        <f t="shared" si="93"/>
        <v/>
      </c>
      <c r="CE182" s="4"/>
      <c r="CF182" s="4"/>
      <c r="CG182" s="4"/>
      <c r="CH182" s="2" t="str">
        <f t="shared" si="94"/>
        <v/>
      </c>
      <c r="CI182" s="2" t="str">
        <f t="shared" si="95"/>
        <v/>
      </c>
    </row>
    <row r="183" spans="2:87" ht="21.75" customHeight="1">
      <c r="B183" s="38">
        <v>31</v>
      </c>
      <c r="C183" s="41"/>
      <c r="D183" s="45"/>
      <c r="E183" s="45"/>
      <c r="F183" s="45"/>
      <c r="G183" s="45"/>
      <c r="H183" s="45"/>
      <c r="I183" s="45"/>
      <c r="J183" s="45"/>
      <c r="K183" s="39"/>
      <c r="L183" s="39"/>
      <c r="M183" s="39"/>
      <c r="N183" s="45"/>
      <c r="O183" s="45"/>
      <c r="R183" s="4">
        <f t="shared" si="72"/>
        <v>31</v>
      </c>
      <c r="S183" s="1" t="str">
        <f t="shared" si="73"/>
        <v/>
      </c>
      <c r="T183" s="4"/>
      <c r="U183" s="4"/>
      <c r="V183" s="4"/>
      <c r="W183" s="4"/>
      <c r="X183" s="4"/>
      <c r="Y183" s="4"/>
      <c r="Z183" s="4"/>
      <c r="AA183" s="2" t="str">
        <f t="shared" si="74"/>
        <v/>
      </c>
      <c r="AB183" s="2" t="str">
        <f t="shared" si="75"/>
        <v/>
      </c>
      <c r="AC183" s="4">
        <f t="shared" si="76"/>
        <v>31</v>
      </c>
      <c r="AD183" s="1" t="str">
        <f t="shared" si="77"/>
        <v/>
      </c>
      <c r="AE183" s="4"/>
      <c r="AF183" s="4"/>
      <c r="AG183" s="4"/>
      <c r="AH183" s="4"/>
      <c r="AI183" s="4"/>
      <c r="AJ183" s="4"/>
      <c r="AK183" s="4"/>
      <c r="AL183" s="2" t="str">
        <f t="shared" si="78"/>
        <v/>
      </c>
      <c r="AM183" s="2" t="str">
        <f t="shared" si="79"/>
        <v/>
      </c>
      <c r="AN183" s="4">
        <f t="shared" si="80"/>
        <v>31</v>
      </c>
      <c r="AO183" s="1" t="str">
        <f t="shared" si="81"/>
        <v/>
      </c>
      <c r="AP183" s="4"/>
      <c r="AQ183" s="4"/>
      <c r="AR183" s="4"/>
      <c r="AS183" s="4"/>
      <c r="AT183" s="4"/>
      <c r="AU183" s="4"/>
      <c r="AV183" s="4"/>
      <c r="AW183" s="2" t="str">
        <f t="shared" si="82"/>
        <v/>
      </c>
      <c r="AX183" s="23" t="str">
        <f t="shared" si="83"/>
        <v/>
      </c>
      <c r="AY183" s="4">
        <f t="shared" si="84"/>
        <v>31</v>
      </c>
      <c r="AZ183" s="1" t="str">
        <f t="shared" si="85"/>
        <v/>
      </c>
      <c r="BA183" s="4"/>
      <c r="BB183" s="4"/>
      <c r="BC183" s="4"/>
      <c r="BD183" s="4"/>
      <c r="BE183" s="4"/>
      <c r="BF183" s="4"/>
      <c r="BG183" s="4"/>
      <c r="BH183" s="2" t="str">
        <f t="shared" si="86"/>
        <v/>
      </c>
      <c r="BI183" s="2" t="str">
        <f t="shared" si="87"/>
        <v/>
      </c>
      <c r="BJ183" s="4">
        <f t="shared" si="88"/>
        <v>31</v>
      </c>
      <c r="BK183" s="1" t="str">
        <f t="shared" si="89"/>
        <v/>
      </c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2" t="str">
        <f t="shared" si="90"/>
        <v/>
      </c>
      <c r="CB183" s="2" t="str">
        <f t="shared" si="91"/>
        <v/>
      </c>
      <c r="CC183" s="4">
        <f t="shared" si="92"/>
        <v>31</v>
      </c>
      <c r="CD183" s="1" t="str">
        <f t="shared" si="93"/>
        <v/>
      </c>
      <c r="CE183" s="4"/>
      <c r="CF183" s="4"/>
      <c r="CG183" s="4"/>
      <c r="CH183" s="2" t="str">
        <f t="shared" si="94"/>
        <v/>
      </c>
      <c r="CI183" s="2" t="str">
        <f t="shared" si="95"/>
        <v/>
      </c>
    </row>
    <row r="184" spans="2:87" ht="21.75" customHeight="1">
      <c r="B184" s="38">
        <v>32</v>
      </c>
      <c r="C184" s="41"/>
      <c r="D184" s="45"/>
      <c r="E184" s="45"/>
      <c r="F184" s="45"/>
      <c r="G184" s="45"/>
      <c r="H184" s="45"/>
      <c r="I184" s="45"/>
      <c r="J184" s="45"/>
      <c r="K184" s="39"/>
      <c r="L184" s="39"/>
      <c r="M184" s="39"/>
      <c r="N184" s="45"/>
      <c r="O184" s="45"/>
      <c r="R184" s="4">
        <f t="shared" si="72"/>
        <v>32</v>
      </c>
      <c r="S184" s="1" t="str">
        <f t="shared" si="73"/>
        <v/>
      </c>
      <c r="T184" s="4"/>
      <c r="U184" s="4"/>
      <c r="V184" s="4"/>
      <c r="W184" s="4"/>
      <c r="X184" s="4"/>
      <c r="Y184" s="4"/>
      <c r="Z184" s="4"/>
      <c r="AA184" s="2" t="str">
        <f t="shared" si="74"/>
        <v/>
      </c>
      <c r="AB184" s="2" t="str">
        <f t="shared" si="75"/>
        <v/>
      </c>
      <c r="AC184" s="4">
        <f t="shared" si="76"/>
        <v>32</v>
      </c>
      <c r="AD184" s="1" t="str">
        <f t="shared" si="77"/>
        <v/>
      </c>
      <c r="AE184" s="4"/>
      <c r="AF184" s="4"/>
      <c r="AG184" s="4"/>
      <c r="AH184" s="4"/>
      <c r="AI184" s="4"/>
      <c r="AJ184" s="4"/>
      <c r="AK184" s="4"/>
      <c r="AL184" s="2" t="str">
        <f t="shared" si="78"/>
        <v/>
      </c>
      <c r="AM184" s="2" t="str">
        <f t="shared" si="79"/>
        <v/>
      </c>
      <c r="AN184" s="4">
        <f t="shared" si="80"/>
        <v>32</v>
      </c>
      <c r="AO184" s="1" t="str">
        <f t="shared" si="81"/>
        <v/>
      </c>
      <c r="AP184" s="4"/>
      <c r="AQ184" s="4"/>
      <c r="AR184" s="4"/>
      <c r="AS184" s="4"/>
      <c r="AT184" s="4"/>
      <c r="AU184" s="4"/>
      <c r="AV184" s="4"/>
      <c r="AW184" s="2" t="str">
        <f t="shared" si="82"/>
        <v/>
      </c>
      <c r="AX184" s="23" t="str">
        <f t="shared" si="83"/>
        <v/>
      </c>
      <c r="AY184" s="4">
        <f t="shared" si="84"/>
        <v>32</v>
      </c>
      <c r="AZ184" s="1" t="str">
        <f t="shared" si="85"/>
        <v/>
      </c>
      <c r="BA184" s="4"/>
      <c r="BB184" s="4"/>
      <c r="BC184" s="4"/>
      <c r="BD184" s="4"/>
      <c r="BE184" s="4"/>
      <c r="BF184" s="4"/>
      <c r="BG184" s="4"/>
      <c r="BH184" s="2" t="str">
        <f t="shared" si="86"/>
        <v/>
      </c>
      <c r="BI184" s="2" t="str">
        <f t="shared" si="87"/>
        <v/>
      </c>
      <c r="BJ184" s="4">
        <f t="shared" si="88"/>
        <v>32</v>
      </c>
      <c r="BK184" s="1" t="str">
        <f t="shared" si="89"/>
        <v/>
      </c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2" t="str">
        <f t="shared" si="90"/>
        <v/>
      </c>
      <c r="CB184" s="2" t="str">
        <f t="shared" si="91"/>
        <v/>
      </c>
      <c r="CC184" s="4">
        <f t="shared" si="92"/>
        <v>32</v>
      </c>
      <c r="CD184" s="1" t="str">
        <f t="shared" si="93"/>
        <v/>
      </c>
      <c r="CE184" s="4"/>
      <c r="CF184" s="4"/>
      <c r="CG184" s="4"/>
      <c r="CH184" s="2" t="str">
        <f t="shared" si="94"/>
        <v/>
      </c>
      <c r="CI184" s="2" t="str">
        <f t="shared" si="95"/>
        <v/>
      </c>
    </row>
    <row r="185" spans="2:87" ht="21.75" customHeight="1">
      <c r="B185" s="38">
        <v>33</v>
      </c>
      <c r="C185" s="41"/>
      <c r="D185" s="45"/>
      <c r="E185" s="45"/>
      <c r="F185" s="45"/>
      <c r="G185" s="45"/>
      <c r="H185" s="45"/>
      <c r="I185" s="45"/>
      <c r="J185" s="45"/>
      <c r="K185" s="39"/>
      <c r="L185" s="39"/>
      <c r="M185" s="39"/>
      <c r="N185" s="45"/>
      <c r="O185" s="45"/>
      <c r="R185" s="4">
        <f t="shared" si="72"/>
        <v>33</v>
      </c>
      <c r="S185" s="1" t="str">
        <f t="shared" si="73"/>
        <v/>
      </c>
      <c r="T185" s="4"/>
      <c r="U185" s="4"/>
      <c r="V185" s="4"/>
      <c r="W185" s="4"/>
      <c r="X185" s="4"/>
      <c r="Y185" s="4"/>
      <c r="Z185" s="4"/>
      <c r="AA185" s="2" t="str">
        <f t="shared" si="74"/>
        <v/>
      </c>
      <c r="AB185" s="2" t="str">
        <f t="shared" si="75"/>
        <v/>
      </c>
      <c r="AC185" s="4">
        <f t="shared" si="76"/>
        <v>33</v>
      </c>
      <c r="AD185" s="1" t="str">
        <f t="shared" si="77"/>
        <v/>
      </c>
      <c r="AE185" s="4"/>
      <c r="AF185" s="4"/>
      <c r="AG185" s="4"/>
      <c r="AH185" s="4"/>
      <c r="AI185" s="4"/>
      <c r="AJ185" s="4"/>
      <c r="AK185" s="4"/>
      <c r="AL185" s="2" t="str">
        <f t="shared" si="78"/>
        <v/>
      </c>
      <c r="AM185" s="2" t="str">
        <f t="shared" si="79"/>
        <v/>
      </c>
      <c r="AN185" s="4">
        <f t="shared" si="80"/>
        <v>33</v>
      </c>
      <c r="AO185" s="1" t="str">
        <f t="shared" si="81"/>
        <v/>
      </c>
      <c r="AP185" s="4"/>
      <c r="AQ185" s="4"/>
      <c r="AR185" s="4"/>
      <c r="AS185" s="4"/>
      <c r="AT185" s="4"/>
      <c r="AU185" s="4"/>
      <c r="AV185" s="4"/>
      <c r="AW185" s="2" t="str">
        <f t="shared" si="82"/>
        <v/>
      </c>
      <c r="AX185" s="23" t="str">
        <f t="shared" si="83"/>
        <v/>
      </c>
      <c r="AY185" s="4">
        <f t="shared" si="84"/>
        <v>33</v>
      </c>
      <c r="AZ185" s="1" t="str">
        <f t="shared" si="85"/>
        <v/>
      </c>
      <c r="BA185" s="4"/>
      <c r="BB185" s="4"/>
      <c r="BC185" s="4"/>
      <c r="BD185" s="4"/>
      <c r="BE185" s="4"/>
      <c r="BF185" s="4"/>
      <c r="BG185" s="4"/>
      <c r="BH185" s="2" t="str">
        <f t="shared" si="86"/>
        <v/>
      </c>
      <c r="BI185" s="2" t="str">
        <f t="shared" si="87"/>
        <v/>
      </c>
      <c r="BJ185" s="4">
        <f t="shared" si="88"/>
        <v>33</v>
      </c>
      <c r="BK185" s="1" t="str">
        <f t="shared" si="89"/>
        <v/>
      </c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2" t="str">
        <f t="shared" si="90"/>
        <v/>
      </c>
      <c r="CB185" s="2" t="str">
        <f t="shared" si="91"/>
        <v/>
      </c>
      <c r="CC185" s="4">
        <f t="shared" si="92"/>
        <v>33</v>
      </c>
      <c r="CD185" s="1" t="str">
        <f t="shared" si="93"/>
        <v/>
      </c>
      <c r="CE185" s="4"/>
      <c r="CF185" s="4"/>
      <c r="CG185" s="4"/>
      <c r="CH185" s="2" t="str">
        <f t="shared" si="94"/>
        <v/>
      </c>
      <c r="CI185" s="2" t="str">
        <f t="shared" si="95"/>
        <v/>
      </c>
    </row>
    <row r="186" spans="2:87" ht="21.75" customHeight="1">
      <c r="B186" s="38">
        <v>34</v>
      </c>
      <c r="C186" s="41"/>
      <c r="D186" s="45"/>
      <c r="E186" s="45"/>
      <c r="F186" s="45"/>
      <c r="G186" s="45"/>
      <c r="H186" s="45"/>
      <c r="I186" s="45"/>
      <c r="J186" s="45"/>
      <c r="K186" s="39"/>
      <c r="L186" s="39"/>
      <c r="M186" s="39"/>
      <c r="N186" s="45"/>
      <c r="O186" s="45"/>
      <c r="R186" s="4">
        <f t="shared" si="72"/>
        <v>34</v>
      </c>
      <c r="S186" s="1" t="str">
        <f t="shared" si="73"/>
        <v/>
      </c>
      <c r="T186" s="4"/>
      <c r="U186" s="4"/>
      <c r="V186" s="4"/>
      <c r="W186" s="4"/>
      <c r="X186" s="4"/>
      <c r="Y186" s="4"/>
      <c r="Z186" s="4"/>
      <c r="AA186" s="2" t="str">
        <f t="shared" si="74"/>
        <v/>
      </c>
      <c r="AB186" s="2" t="str">
        <f t="shared" si="75"/>
        <v/>
      </c>
      <c r="AC186" s="4">
        <f t="shared" si="76"/>
        <v>34</v>
      </c>
      <c r="AD186" s="1" t="str">
        <f t="shared" si="77"/>
        <v/>
      </c>
      <c r="AE186" s="4"/>
      <c r="AF186" s="4"/>
      <c r="AG186" s="4"/>
      <c r="AH186" s="4"/>
      <c r="AI186" s="4"/>
      <c r="AJ186" s="4"/>
      <c r="AK186" s="4"/>
      <c r="AL186" s="2" t="str">
        <f t="shared" si="78"/>
        <v/>
      </c>
      <c r="AM186" s="2" t="str">
        <f t="shared" si="79"/>
        <v/>
      </c>
      <c r="AN186" s="4">
        <f t="shared" si="80"/>
        <v>34</v>
      </c>
      <c r="AO186" s="1" t="str">
        <f t="shared" si="81"/>
        <v/>
      </c>
      <c r="AP186" s="4"/>
      <c r="AQ186" s="4"/>
      <c r="AR186" s="4"/>
      <c r="AS186" s="4"/>
      <c r="AT186" s="4"/>
      <c r="AU186" s="4"/>
      <c r="AV186" s="4"/>
      <c r="AW186" s="2" t="str">
        <f t="shared" si="82"/>
        <v/>
      </c>
      <c r="AX186" s="23" t="str">
        <f t="shared" si="83"/>
        <v/>
      </c>
      <c r="AY186" s="4">
        <f t="shared" si="84"/>
        <v>34</v>
      </c>
      <c r="AZ186" s="1" t="str">
        <f t="shared" si="85"/>
        <v/>
      </c>
      <c r="BA186" s="4"/>
      <c r="BB186" s="4"/>
      <c r="BC186" s="4"/>
      <c r="BD186" s="4"/>
      <c r="BE186" s="4"/>
      <c r="BF186" s="4"/>
      <c r="BG186" s="4"/>
      <c r="BH186" s="2" t="str">
        <f t="shared" si="86"/>
        <v/>
      </c>
      <c r="BI186" s="2" t="str">
        <f t="shared" si="87"/>
        <v/>
      </c>
      <c r="BJ186" s="4">
        <f t="shared" si="88"/>
        <v>34</v>
      </c>
      <c r="BK186" s="1" t="str">
        <f t="shared" si="89"/>
        <v/>
      </c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2" t="str">
        <f t="shared" si="90"/>
        <v/>
      </c>
      <c r="CB186" s="2" t="str">
        <f t="shared" si="91"/>
        <v/>
      </c>
      <c r="CC186" s="4">
        <f t="shared" si="92"/>
        <v>34</v>
      </c>
      <c r="CD186" s="1" t="str">
        <f t="shared" si="93"/>
        <v/>
      </c>
      <c r="CE186" s="4"/>
      <c r="CF186" s="4"/>
      <c r="CG186" s="4"/>
      <c r="CH186" s="2" t="str">
        <f t="shared" si="94"/>
        <v/>
      </c>
      <c r="CI186" s="2" t="str">
        <f t="shared" si="95"/>
        <v/>
      </c>
    </row>
    <row r="187" spans="2:87" ht="21.75" customHeight="1">
      <c r="B187" s="38">
        <v>35</v>
      </c>
      <c r="C187" s="41"/>
      <c r="D187" s="45"/>
      <c r="E187" s="45"/>
      <c r="F187" s="45"/>
      <c r="G187" s="45"/>
      <c r="H187" s="45"/>
      <c r="I187" s="45"/>
      <c r="J187" s="45"/>
      <c r="K187" s="39"/>
      <c r="L187" s="39"/>
      <c r="M187" s="39"/>
      <c r="N187" s="45"/>
      <c r="O187" s="45"/>
      <c r="R187" s="4">
        <f t="shared" si="72"/>
        <v>35</v>
      </c>
      <c r="S187" s="1" t="str">
        <f t="shared" si="73"/>
        <v/>
      </c>
      <c r="T187" s="4"/>
      <c r="U187" s="4"/>
      <c r="V187" s="4"/>
      <c r="W187" s="4"/>
      <c r="X187" s="4"/>
      <c r="Y187" s="4"/>
      <c r="Z187" s="4"/>
      <c r="AA187" s="2" t="str">
        <f t="shared" si="74"/>
        <v/>
      </c>
      <c r="AB187" s="2" t="str">
        <f t="shared" si="75"/>
        <v/>
      </c>
      <c r="AC187" s="4">
        <f t="shared" si="76"/>
        <v>35</v>
      </c>
      <c r="AD187" s="1" t="str">
        <f t="shared" si="77"/>
        <v/>
      </c>
      <c r="AE187" s="4"/>
      <c r="AF187" s="4"/>
      <c r="AG187" s="4"/>
      <c r="AH187" s="4"/>
      <c r="AI187" s="4"/>
      <c r="AJ187" s="4"/>
      <c r="AK187" s="4"/>
      <c r="AL187" s="2" t="str">
        <f t="shared" si="78"/>
        <v/>
      </c>
      <c r="AM187" s="2" t="str">
        <f t="shared" si="79"/>
        <v/>
      </c>
      <c r="AN187" s="4">
        <f t="shared" si="80"/>
        <v>35</v>
      </c>
      <c r="AO187" s="1" t="str">
        <f t="shared" si="81"/>
        <v/>
      </c>
      <c r="AP187" s="4"/>
      <c r="AQ187" s="4"/>
      <c r="AR187" s="4"/>
      <c r="AS187" s="4"/>
      <c r="AT187" s="4"/>
      <c r="AU187" s="4"/>
      <c r="AV187" s="4"/>
      <c r="AW187" s="2" t="str">
        <f t="shared" si="82"/>
        <v/>
      </c>
      <c r="AX187" s="23" t="str">
        <f t="shared" si="83"/>
        <v/>
      </c>
      <c r="AY187" s="4">
        <f t="shared" si="84"/>
        <v>35</v>
      </c>
      <c r="AZ187" s="1" t="str">
        <f t="shared" si="85"/>
        <v/>
      </c>
      <c r="BA187" s="4"/>
      <c r="BB187" s="4"/>
      <c r="BC187" s="4"/>
      <c r="BD187" s="4"/>
      <c r="BE187" s="4"/>
      <c r="BF187" s="4"/>
      <c r="BG187" s="4"/>
      <c r="BH187" s="2" t="str">
        <f t="shared" si="86"/>
        <v/>
      </c>
      <c r="BI187" s="2" t="str">
        <f t="shared" si="87"/>
        <v/>
      </c>
      <c r="BJ187" s="4">
        <f t="shared" si="88"/>
        <v>35</v>
      </c>
      <c r="BK187" s="1" t="str">
        <f t="shared" si="89"/>
        <v/>
      </c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2" t="str">
        <f t="shared" si="90"/>
        <v/>
      </c>
      <c r="CB187" s="2" t="str">
        <f t="shared" si="91"/>
        <v/>
      </c>
      <c r="CC187" s="4">
        <f t="shared" si="92"/>
        <v>35</v>
      </c>
      <c r="CD187" s="1" t="str">
        <f t="shared" si="93"/>
        <v/>
      </c>
      <c r="CE187" s="4"/>
      <c r="CF187" s="4"/>
      <c r="CG187" s="4"/>
      <c r="CH187" s="2" t="str">
        <f t="shared" si="94"/>
        <v/>
      </c>
      <c r="CI187" s="2" t="str">
        <f t="shared" si="95"/>
        <v/>
      </c>
    </row>
    <row r="188" spans="2:87" ht="21.75" customHeight="1">
      <c r="B188" s="38">
        <v>36</v>
      </c>
      <c r="C188" s="41"/>
      <c r="D188" s="45"/>
      <c r="E188" s="45"/>
      <c r="F188" s="45"/>
      <c r="G188" s="45"/>
      <c r="H188" s="45"/>
      <c r="I188" s="45"/>
      <c r="J188" s="45"/>
      <c r="K188" s="39"/>
      <c r="L188" s="39"/>
      <c r="M188" s="39"/>
      <c r="N188" s="45"/>
      <c r="O188" s="45"/>
      <c r="R188" s="4">
        <f t="shared" si="72"/>
        <v>36</v>
      </c>
      <c r="S188" s="1" t="str">
        <f t="shared" si="73"/>
        <v/>
      </c>
      <c r="T188" s="4"/>
      <c r="U188" s="4"/>
      <c r="V188" s="4"/>
      <c r="W188" s="4"/>
      <c r="X188" s="4"/>
      <c r="Y188" s="4"/>
      <c r="Z188" s="4"/>
      <c r="AA188" s="2" t="str">
        <f t="shared" si="74"/>
        <v/>
      </c>
      <c r="AB188" s="2" t="str">
        <f t="shared" si="75"/>
        <v/>
      </c>
      <c r="AC188" s="4">
        <f t="shared" si="76"/>
        <v>36</v>
      </c>
      <c r="AD188" s="1" t="str">
        <f t="shared" si="77"/>
        <v/>
      </c>
      <c r="AE188" s="4"/>
      <c r="AF188" s="4"/>
      <c r="AG188" s="4"/>
      <c r="AH188" s="4"/>
      <c r="AI188" s="4"/>
      <c r="AJ188" s="4"/>
      <c r="AK188" s="4"/>
      <c r="AL188" s="2" t="str">
        <f t="shared" si="78"/>
        <v/>
      </c>
      <c r="AM188" s="2" t="str">
        <f t="shared" si="79"/>
        <v/>
      </c>
      <c r="AN188" s="4">
        <f t="shared" si="80"/>
        <v>36</v>
      </c>
      <c r="AO188" s="1" t="str">
        <f t="shared" si="81"/>
        <v/>
      </c>
      <c r="AP188" s="4"/>
      <c r="AQ188" s="4"/>
      <c r="AR188" s="4"/>
      <c r="AS188" s="4"/>
      <c r="AT188" s="4"/>
      <c r="AU188" s="4"/>
      <c r="AV188" s="4"/>
      <c r="AW188" s="2" t="str">
        <f t="shared" si="82"/>
        <v/>
      </c>
      <c r="AX188" s="23" t="str">
        <f t="shared" si="83"/>
        <v/>
      </c>
      <c r="AY188" s="4">
        <f t="shared" si="84"/>
        <v>36</v>
      </c>
      <c r="AZ188" s="1" t="str">
        <f t="shared" si="85"/>
        <v/>
      </c>
      <c r="BA188" s="4"/>
      <c r="BB188" s="4"/>
      <c r="BC188" s="4"/>
      <c r="BD188" s="4"/>
      <c r="BE188" s="4"/>
      <c r="BF188" s="4"/>
      <c r="BG188" s="4"/>
      <c r="BH188" s="2" t="str">
        <f t="shared" si="86"/>
        <v/>
      </c>
      <c r="BI188" s="2" t="str">
        <f t="shared" si="87"/>
        <v/>
      </c>
      <c r="BJ188" s="4">
        <f t="shared" si="88"/>
        <v>36</v>
      </c>
      <c r="BK188" s="1" t="str">
        <f t="shared" si="89"/>
        <v/>
      </c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2" t="str">
        <f t="shared" si="90"/>
        <v/>
      </c>
      <c r="CB188" s="2" t="str">
        <f t="shared" si="91"/>
        <v/>
      </c>
      <c r="CC188" s="4">
        <f t="shared" si="92"/>
        <v>36</v>
      </c>
      <c r="CD188" s="1" t="str">
        <f t="shared" si="93"/>
        <v/>
      </c>
      <c r="CE188" s="4"/>
      <c r="CF188" s="4"/>
      <c r="CG188" s="4"/>
      <c r="CH188" s="2" t="str">
        <f t="shared" si="94"/>
        <v/>
      </c>
      <c r="CI188" s="2" t="str">
        <f t="shared" si="95"/>
        <v/>
      </c>
    </row>
    <row r="189" spans="2:87" ht="21.75" customHeight="1">
      <c r="B189" s="38">
        <v>37</v>
      </c>
      <c r="C189" s="41"/>
      <c r="D189" s="45"/>
      <c r="E189" s="45"/>
      <c r="F189" s="45"/>
      <c r="G189" s="45"/>
      <c r="H189" s="45"/>
      <c r="I189" s="45"/>
      <c r="J189" s="45"/>
      <c r="K189" s="39"/>
      <c r="L189" s="39"/>
      <c r="M189" s="39"/>
      <c r="N189" s="45"/>
      <c r="O189" s="45"/>
      <c r="R189" s="4">
        <f t="shared" si="72"/>
        <v>37</v>
      </c>
      <c r="S189" s="1" t="str">
        <f t="shared" si="73"/>
        <v/>
      </c>
      <c r="T189" s="4"/>
      <c r="U189" s="4"/>
      <c r="V189" s="4"/>
      <c r="W189" s="4"/>
      <c r="X189" s="4"/>
      <c r="Y189" s="4"/>
      <c r="Z189" s="4"/>
      <c r="AA189" s="2" t="str">
        <f t="shared" si="74"/>
        <v/>
      </c>
      <c r="AB189" s="2" t="str">
        <f t="shared" si="75"/>
        <v/>
      </c>
      <c r="AC189" s="4">
        <f t="shared" si="76"/>
        <v>37</v>
      </c>
      <c r="AD189" s="1" t="str">
        <f t="shared" si="77"/>
        <v/>
      </c>
      <c r="AE189" s="4"/>
      <c r="AF189" s="4"/>
      <c r="AG189" s="4"/>
      <c r="AH189" s="4"/>
      <c r="AI189" s="4"/>
      <c r="AJ189" s="4"/>
      <c r="AK189" s="4"/>
      <c r="AL189" s="2" t="str">
        <f t="shared" si="78"/>
        <v/>
      </c>
      <c r="AM189" s="2" t="str">
        <f t="shared" si="79"/>
        <v/>
      </c>
      <c r="AN189" s="4">
        <f t="shared" si="80"/>
        <v>37</v>
      </c>
      <c r="AO189" s="1" t="str">
        <f t="shared" si="81"/>
        <v/>
      </c>
      <c r="AP189" s="4"/>
      <c r="AQ189" s="4"/>
      <c r="AR189" s="4"/>
      <c r="AS189" s="4"/>
      <c r="AT189" s="4"/>
      <c r="AU189" s="4"/>
      <c r="AV189" s="4"/>
      <c r="AW189" s="2" t="str">
        <f t="shared" si="82"/>
        <v/>
      </c>
      <c r="AX189" s="23" t="str">
        <f t="shared" si="83"/>
        <v/>
      </c>
      <c r="AY189" s="4">
        <f t="shared" si="84"/>
        <v>37</v>
      </c>
      <c r="AZ189" s="1" t="str">
        <f t="shared" si="85"/>
        <v/>
      </c>
      <c r="BA189" s="4"/>
      <c r="BB189" s="4"/>
      <c r="BC189" s="4"/>
      <c r="BD189" s="4"/>
      <c r="BE189" s="4"/>
      <c r="BF189" s="4"/>
      <c r="BG189" s="4"/>
      <c r="BH189" s="2" t="str">
        <f t="shared" si="86"/>
        <v/>
      </c>
      <c r="BI189" s="2" t="str">
        <f t="shared" si="87"/>
        <v/>
      </c>
      <c r="BJ189" s="4">
        <f t="shared" si="88"/>
        <v>37</v>
      </c>
      <c r="BK189" s="1" t="str">
        <f t="shared" si="89"/>
        <v/>
      </c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2" t="str">
        <f t="shared" si="90"/>
        <v/>
      </c>
      <c r="CB189" s="2" t="str">
        <f t="shared" si="91"/>
        <v/>
      </c>
      <c r="CC189" s="4">
        <f t="shared" si="92"/>
        <v>37</v>
      </c>
      <c r="CD189" s="1" t="str">
        <f t="shared" si="93"/>
        <v/>
      </c>
      <c r="CE189" s="4"/>
      <c r="CF189" s="4"/>
      <c r="CG189" s="4"/>
      <c r="CH189" s="2" t="str">
        <f t="shared" si="94"/>
        <v/>
      </c>
      <c r="CI189" s="2" t="str">
        <f t="shared" si="95"/>
        <v/>
      </c>
    </row>
    <row r="190" spans="2:87" ht="21.75" customHeight="1">
      <c r="B190" s="38">
        <v>38</v>
      </c>
      <c r="C190" s="41"/>
      <c r="D190" s="45"/>
      <c r="E190" s="45"/>
      <c r="F190" s="45"/>
      <c r="G190" s="45"/>
      <c r="H190" s="45"/>
      <c r="I190" s="45"/>
      <c r="J190" s="45"/>
      <c r="K190" s="39"/>
      <c r="L190" s="39"/>
      <c r="M190" s="39"/>
      <c r="N190" s="45"/>
      <c r="O190" s="45"/>
      <c r="R190" s="4">
        <f t="shared" si="72"/>
        <v>38</v>
      </c>
      <c r="S190" s="1" t="str">
        <f t="shared" si="73"/>
        <v/>
      </c>
      <c r="T190" s="4"/>
      <c r="U190" s="4"/>
      <c r="V190" s="4"/>
      <c r="W190" s="4"/>
      <c r="X190" s="4"/>
      <c r="Y190" s="4"/>
      <c r="Z190" s="4"/>
      <c r="AA190" s="2" t="str">
        <f t="shared" si="74"/>
        <v/>
      </c>
      <c r="AB190" s="2" t="str">
        <f t="shared" si="75"/>
        <v/>
      </c>
      <c r="AC190" s="4">
        <f t="shared" si="76"/>
        <v>38</v>
      </c>
      <c r="AD190" s="1" t="str">
        <f t="shared" si="77"/>
        <v/>
      </c>
      <c r="AE190" s="4"/>
      <c r="AF190" s="4"/>
      <c r="AG190" s="4"/>
      <c r="AH190" s="4"/>
      <c r="AI190" s="4"/>
      <c r="AJ190" s="4"/>
      <c r="AK190" s="4"/>
      <c r="AL190" s="2" t="str">
        <f t="shared" si="78"/>
        <v/>
      </c>
      <c r="AM190" s="2" t="str">
        <f t="shared" si="79"/>
        <v/>
      </c>
      <c r="AN190" s="4">
        <f t="shared" si="80"/>
        <v>38</v>
      </c>
      <c r="AO190" s="1" t="str">
        <f t="shared" si="81"/>
        <v/>
      </c>
      <c r="AP190" s="4"/>
      <c r="AQ190" s="4"/>
      <c r="AR190" s="4"/>
      <c r="AS190" s="4"/>
      <c r="AT190" s="4"/>
      <c r="AU190" s="4"/>
      <c r="AV190" s="4"/>
      <c r="AW190" s="2" t="str">
        <f t="shared" si="82"/>
        <v/>
      </c>
      <c r="AX190" s="23" t="str">
        <f t="shared" si="83"/>
        <v/>
      </c>
      <c r="AY190" s="4">
        <f t="shared" si="84"/>
        <v>38</v>
      </c>
      <c r="AZ190" s="1" t="str">
        <f t="shared" si="85"/>
        <v/>
      </c>
      <c r="BA190" s="4"/>
      <c r="BB190" s="4"/>
      <c r="BC190" s="4"/>
      <c r="BD190" s="4"/>
      <c r="BE190" s="4"/>
      <c r="BF190" s="4"/>
      <c r="BG190" s="4"/>
      <c r="BH190" s="2" t="str">
        <f t="shared" si="86"/>
        <v/>
      </c>
      <c r="BI190" s="2" t="str">
        <f t="shared" si="87"/>
        <v/>
      </c>
      <c r="BJ190" s="4">
        <f t="shared" si="88"/>
        <v>38</v>
      </c>
      <c r="BK190" s="1" t="str">
        <f t="shared" si="89"/>
        <v/>
      </c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2" t="str">
        <f t="shared" si="90"/>
        <v/>
      </c>
      <c r="CB190" s="2" t="str">
        <f t="shared" si="91"/>
        <v/>
      </c>
      <c r="CC190" s="4">
        <f t="shared" si="92"/>
        <v>38</v>
      </c>
      <c r="CD190" s="1" t="str">
        <f t="shared" si="93"/>
        <v/>
      </c>
      <c r="CE190" s="4"/>
      <c r="CF190" s="4"/>
      <c r="CG190" s="4"/>
      <c r="CH190" s="2" t="str">
        <f t="shared" si="94"/>
        <v/>
      </c>
      <c r="CI190" s="2" t="str">
        <f t="shared" si="95"/>
        <v/>
      </c>
    </row>
    <row r="191" spans="2:87" ht="21.75" customHeight="1">
      <c r="B191" s="38">
        <v>39</v>
      </c>
      <c r="C191" s="41"/>
      <c r="D191" s="45"/>
      <c r="E191" s="45"/>
      <c r="F191" s="45"/>
      <c r="G191" s="45"/>
      <c r="H191" s="45"/>
      <c r="I191" s="45"/>
      <c r="J191" s="45"/>
      <c r="K191" s="39"/>
      <c r="L191" s="39"/>
      <c r="M191" s="39"/>
      <c r="N191" s="45"/>
      <c r="O191" s="45"/>
      <c r="R191" s="4">
        <f t="shared" si="72"/>
        <v>39</v>
      </c>
      <c r="S191" s="1" t="str">
        <f t="shared" si="73"/>
        <v/>
      </c>
      <c r="T191" s="4"/>
      <c r="U191" s="4"/>
      <c r="V191" s="4"/>
      <c r="W191" s="4"/>
      <c r="X191" s="4"/>
      <c r="Y191" s="4"/>
      <c r="Z191" s="4"/>
      <c r="AA191" s="2" t="str">
        <f t="shared" si="74"/>
        <v/>
      </c>
      <c r="AB191" s="2" t="str">
        <f t="shared" si="75"/>
        <v/>
      </c>
      <c r="AC191" s="4">
        <f t="shared" si="76"/>
        <v>39</v>
      </c>
      <c r="AD191" s="1" t="str">
        <f t="shared" si="77"/>
        <v/>
      </c>
      <c r="AE191" s="4"/>
      <c r="AF191" s="4"/>
      <c r="AG191" s="4"/>
      <c r="AH191" s="4"/>
      <c r="AI191" s="4"/>
      <c r="AJ191" s="4"/>
      <c r="AK191" s="4"/>
      <c r="AL191" s="2" t="str">
        <f t="shared" si="78"/>
        <v/>
      </c>
      <c r="AM191" s="2" t="str">
        <f t="shared" si="79"/>
        <v/>
      </c>
      <c r="AN191" s="4">
        <f t="shared" si="80"/>
        <v>39</v>
      </c>
      <c r="AO191" s="1" t="str">
        <f t="shared" si="81"/>
        <v/>
      </c>
      <c r="AP191" s="4"/>
      <c r="AQ191" s="4"/>
      <c r="AR191" s="4"/>
      <c r="AS191" s="4"/>
      <c r="AT191" s="4"/>
      <c r="AU191" s="4"/>
      <c r="AV191" s="4"/>
      <c r="AW191" s="2" t="str">
        <f t="shared" si="82"/>
        <v/>
      </c>
      <c r="AX191" s="23" t="str">
        <f t="shared" si="83"/>
        <v/>
      </c>
      <c r="AY191" s="4">
        <f t="shared" si="84"/>
        <v>39</v>
      </c>
      <c r="AZ191" s="1" t="str">
        <f t="shared" si="85"/>
        <v/>
      </c>
      <c r="BA191" s="4"/>
      <c r="BB191" s="4"/>
      <c r="BC191" s="4"/>
      <c r="BD191" s="4"/>
      <c r="BE191" s="4"/>
      <c r="BF191" s="4"/>
      <c r="BG191" s="4"/>
      <c r="BH191" s="2" t="str">
        <f t="shared" si="86"/>
        <v/>
      </c>
      <c r="BI191" s="2" t="str">
        <f t="shared" si="87"/>
        <v/>
      </c>
      <c r="BJ191" s="4">
        <f t="shared" si="88"/>
        <v>39</v>
      </c>
      <c r="BK191" s="1" t="str">
        <f t="shared" si="89"/>
        <v/>
      </c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2" t="str">
        <f t="shared" si="90"/>
        <v/>
      </c>
      <c r="CB191" s="2"/>
      <c r="CC191" s="4">
        <f t="shared" si="92"/>
        <v>39</v>
      </c>
      <c r="CD191" s="1" t="str">
        <f t="shared" si="93"/>
        <v/>
      </c>
      <c r="CE191" s="4"/>
      <c r="CF191" s="4"/>
      <c r="CG191" s="4"/>
      <c r="CH191" s="2" t="str">
        <f t="shared" si="94"/>
        <v/>
      </c>
      <c r="CI191" s="2"/>
    </row>
    <row r="192" spans="2:87" ht="21.75" customHeight="1">
      <c r="B192" s="38">
        <v>40</v>
      </c>
      <c r="C192" s="41"/>
      <c r="D192" s="45"/>
      <c r="E192" s="45"/>
      <c r="F192" s="45"/>
      <c r="G192" s="45"/>
      <c r="H192" s="45"/>
      <c r="I192" s="45"/>
      <c r="J192" s="45"/>
      <c r="K192" s="39"/>
      <c r="L192" s="39"/>
      <c r="M192" s="39"/>
      <c r="N192" s="45"/>
      <c r="O192" s="45"/>
      <c r="R192" s="4">
        <f t="shared" si="72"/>
        <v>40</v>
      </c>
      <c r="S192" s="1" t="str">
        <f t="shared" si="73"/>
        <v/>
      </c>
      <c r="T192" s="4"/>
      <c r="U192" s="4"/>
      <c r="V192" s="4"/>
      <c r="W192" s="4"/>
      <c r="X192" s="4"/>
      <c r="Y192" s="4"/>
      <c r="Z192" s="4"/>
      <c r="AA192" s="2" t="str">
        <f t="shared" si="74"/>
        <v/>
      </c>
      <c r="AB192" s="2" t="str">
        <f t="shared" si="75"/>
        <v/>
      </c>
      <c r="AC192" s="4">
        <f t="shared" si="76"/>
        <v>40</v>
      </c>
      <c r="AD192" s="1" t="str">
        <f t="shared" si="77"/>
        <v/>
      </c>
      <c r="AE192" s="4"/>
      <c r="AF192" s="4"/>
      <c r="AG192" s="4"/>
      <c r="AH192" s="4"/>
      <c r="AI192" s="4"/>
      <c r="AJ192" s="4"/>
      <c r="AK192" s="4"/>
      <c r="AL192" s="2" t="str">
        <f t="shared" si="78"/>
        <v/>
      </c>
      <c r="AM192" s="2" t="str">
        <f t="shared" si="79"/>
        <v/>
      </c>
      <c r="AN192" s="4">
        <f t="shared" si="80"/>
        <v>40</v>
      </c>
      <c r="AO192" s="1" t="str">
        <f t="shared" si="81"/>
        <v/>
      </c>
      <c r="AP192" s="4"/>
      <c r="AQ192" s="4"/>
      <c r="AR192" s="4"/>
      <c r="AS192" s="4"/>
      <c r="AT192" s="4"/>
      <c r="AU192" s="4"/>
      <c r="AV192" s="4"/>
      <c r="AW192" s="2" t="str">
        <f t="shared" si="82"/>
        <v/>
      </c>
      <c r="AX192" s="23" t="str">
        <f t="shared" si="83"/>
        <v/>
      </c>
      <c r="AY192" s="4">
        <f t="shared" si="84"/>
        <v>40</v>
      </c>
      <c r="AZ192" s="1" t="str">
        <f t="shared" si="85"/>
        <v/>
      </c>
      <c r="BA192" s="4"/>
      <c r="BB192" s="4"/>
      <c r="BC192" s="4"/>
      <c r="BD192" s="4"/>
      <c r="BE192" s="4"/>
      <c r="BF192" s="4"/>
      <c r="BG192" s="4"/>
      <c r="BH192" s="2" t="str">
        <f t="shared" si="86"/>
        <v/>
      </c>
      <c r="BI192" s="2" t="str">
        <f t="shared" si="87"/>
        <v/>
      </c>
      <c r="BJ192" s="4">
        <f t="shared" si="88"/>
        <v>40</v>
      </c>
      <c r="BK192" s="1" t="str">
        <f t="shared" si="89"/>
        <v/>
      </c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2" t="str">
        <f t="shared" si="90"/>
        <v/>
      </c>
      <c r="CB192" s="2"/>
      <c r="CC192" s="4">
        <f t="shared" si="92"/>
        <v>40</v>
      </c>
      <c r="CD192" s="1" t="str">
        <f t="shared" si="93"/>
        <v/>
      </c>
      <c r="CE192" s="4"/>
      <c r="CF192" s="4"/>
      <c r="CG192" s="4"/>
      <c r="CH192" s="2" t="str">
        <f t="shared" si="94"/>
        <v/>
      </c>
      <c r="CI192" s="2"/>
    </row>
    <row r="193" spans="1:87" ht="21.75" hidden="1" customHeight="1">
      <c r="B193" s="38"/>
      <c r="C193" s="41"/>
      <c r="D193" s="45"/>
      <c r="E193" s="45"/>
      <c r="F193" s="45"/>
      <c r="G193" s="45"/>
      <c r="H193" s="45"/>
      <c r="I193" s="45"/>
      <c r="J193" s="45"/>
      <c r="K193" s="39"/>
      <c r="L193" s="39"/>
      <c r="M193" s="39"/>
      <c r="N193" s="45"/>
      <c r="O193" s="45"/>
      <c r="R193" s="4"/>
      <c r="S193" s="26"/>
      <c r="T193" s="4"/>
      <c r="U193" s="4"/>
      <c r="V193" s="4"/>
      <c r="W193" s="4"/>
      <c r="X193" s="4"/>
      <c r="Y193" s="4"/>
      <c r="Z193" s="4"/>
      <c r="AA193" s="2">
        <v>3</v>
      </c>
      <c r="AB193" s="2">
        <v>30</v>
      </c>
      <c r="AC193" s="4"/>
      <c r="AD193" s="26"/>
      <c r="AE193" s="4"/>
      <c r="AF193" s="4"/>
      <c r="AG193" s="4"/>
      <c r="AH193" s="4"/>
      <c r="AI193" s="4"/>
      <c r="AJ193" s="4"/>
      <c r="AK193" s="4"/>
      <c r="AL193" s="2">
        <v>3</v>
      </c>
      <c r="AM193" s="2">
        <v>30</v>
      </c>
      <c r="AN193" s="4"/>
      <c r="AO193" s="26"/>
      <c r="AP193" s="4"/>
      <c r="AQ193" s="4"/>
      <c r="AR193" s="4"/>
      <c r="AS193" s="4"/>
      <c r="AT193" s="4"/>
      <c r="AU193" s="4"/>
      <c r="AV193" s="4"/>
      <c r="AW193" s="2">
        <v>3</v>
      </c>
      <c r="AX193" s="23">
        <v>30</v>
      </c>
      <c r="AY193" s="4"/>
      <c r="AZ193" s="26"/>
      <c r="BA193" s="4"/>
      <c r="BB193" s="4"/>
      <c r="BC193" s="4"/>
      <c r="BD193" s="4"/>
      <c r="BE193" s="4"/>
      <c r="BF193" s="4"/>
      <c r="BG193" s="4"/>
      <c r="BH193" s="2">
        <v>3</v>
      </c>
      <c r="BI193" s="2">
        <v>30</v>
      </c>
      <c r="BJ193" s="4"/>
      <c r="BK193" s="26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2">
        <v>10</v>
      </c>
      <c r="CB193" s="2">
        <v>30</v>
      </c>
      <c r="CC193" s="4"/>
      <c r="CD193" s="26"/>
      <c r="CE193" s="4"/>
      <c r="CF193" s="4"/>
      <c r="CG193" s="4"/>
      <c r="CH193" s="2">
        <v>10</v>
      </c>
      <c r="CI193" s="2">
        <v>30</v>
      </c>
    </row>
    <row r="194" spans="1:87" ht="21.75" customHeight="1">
      <c r="B194" s="38"/>
      <c r="C194" s="48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R194" s="57" t="s">
        <v>38</v>
      </c>
      <c r="S194" s="58"/>
      <c r="T194" s="5"/>
      <c r="U194" s="5"/>
      <c r="V194" s="5"/>
      <c r="W194" s="5"/>
      <c r="X194" s="5"/>
      <c r="Y194" s="5"/>
      <c r="Z194" s="5"/>
      <c r="AA194" s="27" t="e">
        <f>IF(ISBLANK(AB194),"",AB194)</f>
        <v>#DIV/0!</v>
      </c>
      <c r="AB194" s="5" t="e">
        <f>AVERAGE(AB153:AB192)</f>
        <v>#DIV/0!</v>
      </c>
      <c r="AC194" s="57" t="s">
        <v>38</v>
      </c>
      <c r="AD194" s="58"/>
      <c r="AE194" s="5"/>
      <c r="AF194" s="5"/>
      <c r="AG194" s="5"/>
      <c r="AH194" s="5"/>
      <c r="AI194" s="5"/>
      <c r="AJ194" s="5"/>
      <c r="AK194" s="5"/>
      <c r="AL194" s="27" t="str">
        <f>IF(ISBLANK(AM194),"",AM194)</f>
        <v/>
      </c>
      <c r="AM194" s="5" t="str">
        <f>IF(ISERROR(AVERAGE(AM153:AM192)),"",AVERAGE(AM153:AM192))</f>
        <v/>
      </c>
      <c r="AN194" s="57" t="s">
        <v>38</v>
      </c>
      <c r="AO194" s="58"/>
      <c r="AP194" s="5"/>
      <c r="AQ194" s="5"/>
      <c r="AR194" s="5"/>
      <c r="AS194" s="5"/>
      <c r="AT194" s="5"/>
      <c r="AU194" s="5"/>
      <c r="AV194" s="5"/>
      <c r="AW194" s="27" t="str">
        <f>IF(ISBLANK(AX194),"",AX194)</f>
        <v/>
      </c>
      <c r="AX194" s="5" t="str">
        <f>IF(ISERROR(AVERAGE(AX153:AX192)),"",AVERAGE(AX153:AX192))</f>
        <v/>
      </c>
      <c r="AY194" s="57" t="s">
        <v>38</v>
      </c>
      <c r="AZ194" s="58"/>
      <c r="BA194" s="5"/>
      <c r="BB194" s="5"/>
      <c r="BC194" s="5"/>
      <c r="BD194" s="5"/>
      <c r="BE194" s="5"/>
      <c r="BF194" s="5"/>
      <c r="BG194" s="5"/>
      <c r="BH194" s="27" t="str">
        <f>IF(ISBLANK(BI194),"",BI194)</f>
        <v/>
      </c>
      <c r="BI194" s="5" t="str">
        <f>IF(ISERROR(AVERAGE(BI153:BI192)),"",AVERAGE(BI153:BI192))</f>
        <v/>
      </c>
      <c r="BJ194" s="57" t="s">
        <v>38</v>
      </c>
      <c r="BK194" s="58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27" t="str">
        <f>IF(ISBLANK(CB194),"",CB194)</f>
        <v/>
      </c>
      <c r="CB194" s="5" t="str">
        <f>IF(ISERROR(AVERAGE(CB153:CB192)),"",AVERAGE(CB153:CB192))</f>
        <v/>
      </c>
      <c r="CC194" s="57" t="s">
        <v>38</v>
      </c>
      <c r="CD194" s="58"/>
      <c r="CE194" s="5"/>
      <c r="CF194" s="5"/>
      <c r="CG194" s="5"/>
      <c r="CH194" s="27" t="str">
        <f>IF(ISBLANK(CI194),"",CI194)</f>
        <v/>
      </c>
      <c r="CI194" s="5" t="str">
        <f>IF(ISERROR(AVERAGE(CI153:CI192)),"",AVERAGE(CI153:CI192))</f>
        <v/>
      </c>
    </row>
    <row r="195" spans="1:87">
      <c r="B195" s="50"/>
      <c r="C195" s="50" t="s">
        <v>39</v>
      </c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</row>
    <row r="196" spans="1:87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R196" s="28" t="s">
        <v>40</v>
      </c>
      <c r="S196" s="28"/>
      <c r="T196" s="28" t="str">
        <f>IF(ISBLANK($G195),"",$G195)</f>
        <v/>
      </c>
      <c r="U196" s="28"/>
      <c r="V196" s="28"/>
      <c r="W196" s="28"/>
      <c r="X196" s="28"/>
      <c r="Y196" s="28"/>
      <c r="Z196" s="28"/>
      <c r="AA196" s="28"/>
      <c r="AB196" s="28"/>
      <c r="AC196" s="28" t="s">
        <v>40</v>
      </c>
      <c r="AD196" s="28"/>
      <c r="AE196" s="28" t="str">
        <f>IF(ISBLANK($G195),"",$G195)</f>
        <v/>
      </c>
      <c r="AF196" s="28"/>
      <c r="AG196" s="28"/>
      <c r="AH196" s="28"/>
      <c r="AI196" s="28"/>
      <c r="AJ196" s="28"/>
      <c r="AK196" s="28"/>
      <c r="AL196" s="28"/>
      <c r="AM196" s="28"/>
      <c r="AN196" s="28" t="s">
        <v>40</v>
      </c>
      <c r="AO196" s="28"/>
      <c r="AP196" s="28" t="str">
        <f>IF(ISBLANK($G195),"",$G195)</f>
        <v/>
      </c>
      <c r="AQ196" s="28"/>
      <c r="AR196" s="28"/>
      <c r="AS196" s="28"/>
      <c r="AT196" s="28"/>
      <c r="AU196" s="28"/>
      <c r="AV196" s="28"/>
      <c r="AW196" s="28"/>
      <c r="AX196" s="28"/>
      <c r="AY196" s="28" t="s">
        <v>40</v>
      </c>
      <c r="AZ196" s="28"/>
      <c r="BA196" s="28" t="str">
        <f>IF(ISBLANK($G195),"",$G195)</f>
        <v/>
      </c>
      <c r="BB196" s="28"/>
      <c r="BC196" s="28"/>
      <c r="BD196" s="28"/>
      <c r="BE196" s="28"/>
      <c r="BF196" s="28"/>
      <c r="BG196" s="28"/>
      <c r="BH196" s="28"/>
      <c r="BI196" s="28"/>
      <c r="BJ196" s="28" t="s">
        <v>40</v>
      </c>
      <c r="BK196" s="28"/>
      <c r="BL196" s="28"/>
      <c r="BM196" s="28"/>
      <c r="BN196" s="28"/>
      <c r="BO196" s="28"/>
      <c r="BP196" s="28" t="str">
        <f>IF(ISBLANK($G195),"",$G195)</f>
        <v/>
      </c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 t="s">
        <v>40</v>
      </c>
      <c r="CD196" s="28"/>
      <c r="CE196" s="28" t="str">
        <f>IF(ISBLANK($G195),"",$G195)</f>
        <v/>
      </c>
      <c r="CF196" s="28"/>
      <c r="CG196" s="28"/>
      <c r="CH196" s="28"/>
      <c r="CI196" s="28"/>
    </row>
    <row r="198" spans="1:87">
      <c r="A198" s="29" t="s">
        <v>10</v>
      </c>
      <c r="B198" s="29" t="s">
        <v>16</v>
      </c>
      <c r="C198" s="12">
        <v>1</v>
      </c>
      <c r="D198" s="12">
        <v>2</v>
      </c>
      <c r="E198" s="12" t="s">
        <v>4</v>
      </c>
      <c r="F198" s="12">
        <v>3</v>
      </c>
      <c r="G198" s="12" t="s">
        <v>4</v>
      </c>
      <c r="H198" s="12">
        <v>4</v>
      </c>
      <c r="I198" s="12" t="s">
        <v>4</v>
      </c>
      <c r="J198" s="12" t="s">
        <v>47</v>
      </c>
    </row>
    <row r="199" spans="1:87" ht="43.5">
      <c r="A199" s="12" t="str">
        <f>IF(Q153=Q104,Q104,Q153)</f>
        <v/>
      </c>
      <c r="B199" s="35" t="str">
        <f>IF(Q153=Q104,Q102,Q151)</f>
        <v/>
      </c>
      <c r="C199" s="37" t="str">
        <f>IF(Q153=Q104,Q8,"")</f>
        <v/>
      </c>
      <c r="D199" s="36" t="str">
        <f>Q57</f>
        <v/>
      </c>
      <c r="E199" s="36" t="str">
        <f>IF(C199="","",D199-C199)</f>
        <v/>
      </c>
      <c r="F199" s="36" t="str">
        <f>IF(Q153=Q104,Q106,"")</f>
        <v/>
      </c>
      <c r="G199" s="36" t="str">
        <f>IF(F199="","",F199-D199)</f>
        <v/>
      </c>
      <c r="H199" s="36" t="str">
        <f>Q155</f>
        <v/>
      </c>
      <c r="I199" s="36" t="str">
        <f>IF(F199="","",H199-F199)</f>
        <v/>
      </c>
      <c r="J199" s="36" t="e">
        <f>IF(ISBLANK(C199),H199-D199,H199-C199)</f>
        <v>#VALUE!</v>
      </c>
      <c r="Y199" s="12" t="s">
        <v>47</v>
      </c>
    </row>
    <row r="200" spans="1:87" ht="38.25" customHeight="1">
      <c r="Y200" s="36" t="e">
        <f>IF(F199="",H199-D199,H199-C199)</f>
        <v>#VALUE!</v>
      </c>
    </row>
    <row r="201" spans="1:87">
      <c r="P201" s="30"/>
    </row>
    <row r="202" spans="1:87">
      <c r="P202" s="30"/>
    </row>
    <row r="203" spans="1:87">
      <c r="P203" s="30"/>
    </row>
    <row r="204" spans="1:87">
      <c r="P204" s="30"/>
    </row>
    <row r="205" spans="1:87">
      <c r="P205" s="30"/>
    </row>
    <row r="206" spans="1:87" ht="18.75" thickBot="1">
      <c r="P206" s="31"/>
    </row>
  </sheetData>
  <mergeCells count="236">
    <mergeCell ref="CC1:CI1"/>
    <mergeCell ref="BL2:BN2"/>
    <mergeCell ref="BR2:BS2"/>
    <mergeCell ref="BT2:BV2"/>
    <mergeCell ref="B3:O3"/>
    <mergeCell ref="R3:AA3"/>
    <mergeCell ref="AC3:AL3"/>
    <mergeCell ref="AN3:AW3"/>
    <mergeCell ref="AY3:BH3"/>
    <mergeCell ref="BJ3:CA3"/>
    <mergeCell ref="B1:O1"/>
    <mergeCell ref="R1:AB1"/>
    <mergeCell ref="AC1:AM1"/>
    <mergeCell ref="AN1:AX1"/>
    <mergeCell ref="AY1:BI1"/>
    <mergeCell ref="BJ1:CB1"/>
    <mergeCell ref="AZ4:AZ5"/>
    <mergeCell ref="AC4:AC5"/>
    <mergeCell ref="AD4:AD5"/>
    <mergeCell ref="AE4:AK4"/>
    <mergeCell ref="AL4:AL5"/>
    <mergeCell ref="AM4:AM5"/>
    <mergeCell ref="AN4:AN5"/>
    <mergeCell ref="CC3:CH3"/>
    <mergeCell ref="B4:B5"/>
    <mergeCell ref="C4:C5"/>
    <mergeCell ref="D4:J4"/>
    <mergeCell ref="O4:O5"/>
    <mergeCell ref="R4:R5"/>
    <mergeCell ref="S4:S5"/>
    <mergeCell ref="T4:Z4"/>
    <mergeCell ref="AA4:AA5"/>
    <mergeCell ref="AB4:AB5"/>
    <mergeCell ref="P4:P5"/>
    <mergeCell ref="Q4:Q5"/>
    <mergeCell ref="CI4:CI5"/>
    <mergeCell ref="R47:S47"/>
    <mergeCell ref="AC47:AD47"/>
    <mergeCell ref="AN47:AO47"/>
    <mergeCell ref="AY47:AZ47"/>
    <mergeCell ref="BJ47:BK47"/>
    <mergeCell ref="CC47:CD47"/>
    <mergeCell ref="CA4:CA5"/>
    <mergeCell ref="CB4:CB5"/>
    <mergeCell ref="CC4:CC5"/>
    <mergeCell ref="CD4:CD5"/>
    <mergeCell ref="CE4:CG4"/>
    <mergeCell ref="CH4:CH5"/>
    <mergeCell ref="BA4:BG4"/>
    <mergeCell ref="BH4:BH5"/>
    <mergeCell ref="BI4:BI5"/>
    <mergeCell ref="BJ4:BJ5"/>
    <mergeCell ref="BK4:BK5"/>
    <mergeCell ref="BL4:BZ4"/>
    <mergeCell ref="AO4:AO5"/>
    <mergeCell ref="AP4:AV4"/>
    <mergeCell ref="AW4:AW5"/>
    <mergeCell ref="AX4:AX5"/>
    <mergeCell ref="AY4:AY5"/>
    <mergeCell ref="CC50:CI50"/>
    <mergeCell ref="BL51:BN51"/>
    <mergeCell ref="BR51:BS51"/>
    <mergeCell ref="BT51:BV51"/>
    <mergeCell ref="B52:O52"/>
    <mergeCell ref="R52:AA52"/>
    <mergeCell ref="AC52:AL52"/>
    <mergeCell ref="AN52:AW52"/>
    <mergeCell ref="AY52:BH52"/>
    <mergeCell ref="BJ52:CA52"/>
    <mergeCell ref="B50:O50"/>
    <mergeCell ref="R50:AB50"/>
    <mergeCell ref="AC50:AM50"/>
    <mergeCell ref="AN50:AX50"/>
    <mergeCell ref="AY50:BI50"/>
    <mergeCell ref="BJ50:CB50"/>
    <mergeCell ref="AZ53:AZ54"/>
    <mergeCell ref="AC53:AC54"/>
    <mergeCell ref="AD53:AD54"/>
    <mergeCell ref="AE53:AK53"/>
    <mergeCell ref="AL53:AL54"/>
    <mergeCell ref="AM53:AM54"/>
    <mergeCell ref="AN53:AN54"/>
    <mergeCell ref="CC52:CH52"/>
    <mergeCell ref="B53:B54"/>
    <mergeCell ref="C53:C54"/>
    <mergeCell ref="D53:J53"/>
    <mergeCell ref="O53:O54"/>
    <mergeCell ref="R53:R54"/>
    <mergeCell ref="S53:S54"/>
    <mergeCell ref="T53:Z53"/>
    <mergeCell ref="AA53:AA54"/>
    <mergeCell ref="AB53:AB54"/>
    <mergeCell ref="P53:P54"/>
    <mergeCell ref="Q53:Q54"/>
    <mergeCell ref="CI53:CI54"/>
    <mergeCell ref="R96:S96"/>
    <mergeCell ref="AC96:AD96"/>
    <mergeCell ref="AN96:AO96"/>
    <mergeCell ref="AY96:AZ96"/>
    <mergeCell ref="BJ96:BK96"/>
    <mergeCell ref="CC96:CD96"/>
    <mergeCell ref="CA53:CA54"/>
    <mergeCell ref="CB53:CB54"/>
    <mergeCell ref="CC53:CC54"/>
    <mergeCell ref="CD53:CD54"/>
    <mergeCell ref="CE53:CG53"/>
    <mergeCell ref="CH53:CH54"/>
    <mergeCell ref="BA53:BG53"/>
    <mergeCell ref="BH53:BH54"/>
    <mergeCell ref="BI53:BI54"/>
    <mergeCell ref="BJ53:BJ54"/>
    <mergeCell ref="BK53:BK54"/>
    <mergeCell ref="BL53:BZ53"/>
    <mergeCell ref="AO53:AO54"/>
    <mergeCell ref="AP53:AV53"/>
    <mergeCell ref="AW53:AW54"/>
    <mergeCell ref="AX53:AX54"/>
    <mergeCell ref="AY53:AY54"/>
    <mergeCell ref="CC99:CI99"/>
    <mergeCell ref="BL100:BN100"/>
    <mergeCell ref="BR100:BS100"/>
    <mergeCell ref="BT100:BV100"/>
    <mergeCell ref="B101:O101"/>
    <mergeCell ref="R101:AA101"/>
    <mergeCell ref="AC101:AL101"/>
    <mergeCell ref="AN101:AW101"/>
    <mergeCell ref="AY101:BH101"/>
    <mergeCell ref="BJ101:CA101"/>
    <mergeCell ref="B99:O99"/>
    <mergeCell ref="R99:AB99"/>
    <mergeCell ref="AC99:AM99"/>
    <mergeCell ref="AN99:AX99"/>
    <mergeCell ref="AY99:BI99"/>
    <mergeCell ref="BJ99:CB99"/>
    <mergeCell ref="CC101:CH101"/>
    <mergeCell ref="AC102:AC103"/>
    <mergeCell ref="AD102:AD103"/>
    <mergeCell ref="AE102:AK102"/>
    <mergeCell ref="AL102:AL103"/>
    <mergeCell ref="AM102:AM103"/>
    <mergeCell ref="AN102:AN103"/>
    <mergeCell ref="B102:B103"/>
    <mergeCell ref="C102:C103"/>
    <mergeCell ref="D102:J102"/>
    <mergeCell ref="O102:O103"/>
    <mergeCell ref="R102:R103"/>
    <mergeCell ref="S102:S103"/>
    <mergeCell ref="T102:Z102"/>
    <mergeCell ref="AA102:AA103"/>
    <mergeCell ref="AB102:AB103"/>
    <mergeCell ref="P102:P103"/>
    <mergeCell ref="Q102:Q103"/>
    <mergeCell ref="CH102:CH103"/>
    <mergeCell ref="BA102:BG102"/>
    <mergeCell ref="BH102:BH103"/>
    <mergeCell ref="BI102:BI103"/>
    <mergeCell ref="BJ102:BJ103"/>
    <mergeCell ref="BK102:BK103"/>
    <mergeCell ref="BL102:BZ102"/>
    <mergeCell ref="AO102:AO103"/>
    <mergeCell ref="AP102:AV102"/>
    <mergeCell ref="AW102:AW103"/>
    <mergeCell ref="AX102:AX103"/>
    <mergeCell ref="AY102:AY103"/>
    <mergeCell ref="AZ102:AZ103"/>
    <mergeCell ref="B150:O150"/>
    <mergeCell ref="R150:AA150"/>
    <mergeCell ref="AC150:AL150"/>
    <mergeCell ref="AN150:AW150"/>
    <mergeCell ref="AY150:BH150"/>
    <mergeCell ref="BJ150:CA150"/>
    <mergeCell ref="B148:O148"/>
    <mergeCell ref="R148:AB148"/>
    <mergeCell ref="AC148:AM148"/>
    <mergeCell ref="AN148:AX148"/>
    <mergeCell ref="AY148:BI148"/>
    <mergeCell ref="BJ148:CB148"/>
    <mergeCell ref="B151:B152"/>
    <mergeCell ref="C151:C152"/>
    <mergeCell ref="D151:J151"/>
    <mergeCell ref="O151:O152"/>
    <mergeCell ref="R151:R152"/>
    <mergeCell ref="S151:S152"/>
    <mergeCell ref="T151:Z151"/>
    <mergeCell ref="AA151:AA152"/>
    <mergeCell ref="AB151:AB152"/>
    <mergeCell ref="P151:P152"/>
    <mergeCell ref="Q151:Q152"/>
    <mergeCell ref="R194:S194"/>
    <mergeCell ref="AC194:AD194"/>
    <mergeCell ref="AN194:AO194"/>
    <mergeCell ref="AY194:AZ194"/>
    <mergeCell ref="BJ194:BK194"/>
    <mergeCell ref="CC194:CD194"/>
    <mergeCell ref="CA151:CA152"/>
    <mergeCell ref="CB151:CB152"/>
    <mergeCell ref="CC151:CC152"/>
    <mergeCell ref="CD151:CD152"/>
    <mergeCell ref="BA151:BG151"/>
    <mergeCell ref="BH151:BH152"/>
    <mergeCell ref="BI151:BI152"/>
    <mergeCell ref="BJ151:BJ152"/>
    <mergeCell ref="BK151:BK152"/>
    <mergeCell ref="BL151:BZ151"/>
    <mergeCell ref="AO151:AO152"/>
    <mergeCell ref="AP151:AV151"/>
    <mergeCell ref="AW151:AW152"/>
    <mergeCell ref="AX151:AX152"/>
    <mergeCell ref="AY151:AY152"/>
    <mergeCell ref="AZ151:AZ152"/>
    <mergeCell ref="AC151:AC152"/>
    <mergeCell ref="AD151:AD152"/>
    <mergeCell ref="CI102:CI103"/>
    <mergeCell ref="R145:S145"/>
    <mergeCell ref="AC145:AD145"/>
    <mergeCell ref="AN145:AO145"/>
    <mergeCell ref="CI151:CI152"/>
    <mergeCell ref="CE151:CG151"/>
    <mergeCell ref="CH151:CH152"/>
    <mergeCell ref="AE151:AK151"/>
    <mergeCell ref="AL151:AL152"/>
    <mergeCell ref="AM151:AM152"/>
    <mergeCell ref="AN151:AN152"/>
    <mergeCell ref="CC150:CH150"/>
    <mergeCell ref="CC148:CI148"/>
    <mergeCell ref="BL149:BN149"/>
    <mergeCell ref="BR149:BS149"/>
    <mergeCell ref="BT149:BV149"/>
    <mergeCell ref="AY145:AZ145"/>
    <mergeCell ref="BJ145:BK145"/>
    <mergeCell ref="CC145:CD145"/>
    <mergeCell ref="CA102:CA103"/>
    <mergeCell ref="CB102:CB103"/>
    <mergeCell ref="CC102:CC103"/>
    <mergeCell ref="CD102:CD103"/>
    <mergeCell ref="CE102:CG102"/>
  </mergeCells>
  <conditionalFormatting sqref="AW6:AW46">
    <cfRule type="colorScale" priority="8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6:AX46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A46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max"/>
        <color rgb="FFFFEF9C"/>
        <color rgb="FF63BE7B"/>
      </colorScale>
    </cfRule>
    <cfRule type="colorScale" priority="777">
      <colorScale>
        <cfvo type="min"/>
        <cfvo type="max"/>
        <color theme="5" tint="0.79998168889431442"/>
        <color theme="9" tint="0.79998168889431442"/>
      </colorScale>
    </cfRule>
    <cfRule type="colorScale" priority="7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A18">
    <cfRule type="colorScale" priority="7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:AB46"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0">
      <colorScale>
        <cfvo type="min"/>
        <cfvo type="max"/>
        <color rgb="FFFFEF9C"/>
        <color rgb="FF63BE7B"/>
      </colorScale>
    </cfRule>
    <cfRule type="colorScale" priority="772">
      <colorScale>
        <cfvo type="min"/>
        <cfvo type="max"/>
        <color theme="5" tint="0.79998168889431442"/>
        <color theme="9" tint="0.79998168889431442"/>
      </colorScale>
    </cfRule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6:AB18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:AL46"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max"/>
        <color rgb="FFFFEF9C"/>
        <color rgb="FF63BE7B"/>
      </colorScale>
    </cfRule>
    <cfRule type="colorScale" priority="767">
      <colorScale>
        <cfvo type="min"/>
        <cfvo type="max"/>
        <color theme="5" tint="0.79998168889431442"/>
        <color theme="9" tint="0.79998168889431442"/>
      </colorScale>
    </cfRule>
    <cfRule type="colorScale" priority="7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6:AL18">
    <cfRule type="colorScale" priority="7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:AM46"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max"/>
        <color rgb="FFFFEF9C"/>
        <color rgb="FF63BE7B"/>
      </colorScale>
    </cfRule>
    <cfRule type="colorScale" priority="762">
      <colorScale>
        <cfvo type="min"/>
        <cfvo type="max"/>
        <color theme="5" tint="0.79998168889431442"/>
        <color theme="9" tint="0.79998168889431442"/>
      </colorScale>
    </cfRule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:AM18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6:BH46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max"/>
        <color rgb="FFFFEF9C"/>
        <color rgb="FF63BE7B"/>
      </colorScale>
    </cfRule>
    <cfRule type="colorScale" priority="757">
      <colorScale>
        <cfvo type="min"/>
        <cfvo type="max"/>
        <color theme="5" tint="0.79998168889431442"/>
        <color theme="9" tint="0.79998168889431442"/>
      </colorScale>
    </cfRule>
    <cfRule type="colorScale" priority="7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6:BH18">
    <cfRule type="colorScale" priority="7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6:BI46"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max"/>
        <color rgb="FFFFEF9C"/>
        <color rgb="FF63BE7B"/>
      </colorScale>
    </cfRule>
    <cfRule type="colorScale" priority="752">
      <colorScale>
        <cfvo type="min"/>
        <cfvo type="max"/>
        <color theme="5" tint="0.79998168889431442"/>
        <color theme="9" tint="0.79998168889431442"/>
      </colorScale>
    </cfRule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6:BI18">
    <cfRule type="colorScale" priority="7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6:CA46"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max"/>
        <color rgb="FFFFEF9C"/>
        <color rgb="FF63BE7B"/>
      </colorScale>
    </cfRule>
    <cfRule type="colorScale" priority="747">
      <colorScale>
        <cfvo type="min"/>
        <cfvo type="max"/>
        <color theme="5" tint="0.79998168889431442"/>
        <color theme="9" tint="0.79998168889431442"/>
      </colorScale>
    </cfRule>
    <cfRule type="colorScale" priority="7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6:CA18">
    <cfRule type="colorScale" priority="7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6:CB46"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0">
      <colorScale>
        <cfvo type="min"/>
        <cfvo type="max"/>
        <color rgb="FFFFEF9C"/>
        <color rgb="FF63BE7B"/>
      </colorScale>
    </cfRule>
    <cfRule type="colorScale" priority="742">
      <colorScale>
        <cfvo type="min"/>
        <cfvo type="max"/>
        <color theme="5" tint="0.79998168889431442"/>
        <color theme="9" tint="0.79998168889431442"/>
      </colorScale>
    </cfRule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6:CB18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6:CH46"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max"/>
        <color rgb="FFFFEF9C"/>
        <color rgb="FF63BE7B"/>
      </colorScale>
    </cfRule>
    <cfRule type="colorScale" priority="737">
      <colorScale>
        <cfvo type="min"/>
        <cfvo type="max"/>
        <color theme="5" tint="0.79998168889431442"/>
        <color theme="9" tint="0.79998168889431442"/>
      </colorScale>
    </cfRule>
    <cfRule type="colorScale" priority="7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6:CH18">
    <cfRule type="colorScale" priority="7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6:CI46"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max"/>
        <color rgb="FFFFEF9C"/>
        <color rgb="FF63BE7B"/>
      </colorScale>
    </cfRule>
    <cfRule type="colorScale" priority="732">
      <colorScale>
        <cfvo type="min"/>
        <cfvo type="max"/>
        <color theme="5" tint="0.79998168889431442"/>
        <color theme="9" tint="0.79998168889431442"/>
      </colorScale>
    </cfRule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6:CI18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04:AW144">
    <cfRule type="colorScale" priority="6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04:AX144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04:AA144"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max"/>
        <color rgb="FFFFEF9C"/>
        <color rgb="FF63BE7B"/>
      </colorScale>
    </cfRule>
    <cfRule type="colorScale" priority="595">
      <colorScale>
        <cfvo type="min"/>
        <cfvo type="max"/>
        <color theme="5" tint="0.79998168889431442"/>
        <color theme="9" tint="0.79998168889431442"/>
      </colorScale>
    </cfRule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04:AA116">
    <cfRule type="colorScale" priority="5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04:AB144"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max"/>
        <color rgb="FFFFEF9C"/>
        <color rgb="FF63BE7B"/>
      </colorScale>
    </cfRule>
    <cfRule type="colorScale" priority="590">
      <colorScale>
        <cfvo type="min"/>
        <cfvo type="max"/>
        <color theme="5" tint="0.79998168889431442"/>
        <color theme="9" tint="0.79998168889431442"/>
      </colorScale>
    </cfRule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04:AB116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04:AL144"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max"/>
        <color rgb="FFFFEF9C"/>
        <color rgb="FF63BE7B"/>
      </colorScale>
    </cfRule>
    <cfRule type="colorScale" priority="585">
      <colorScale>
        <cfvo type="min"/>
        <cfvo type="max"/>
        <color theme="5" tint="0.79998168889431442"/>
        <color theme="9" tint="0.79998168889431442"/>
      </colorScale>
    </cfRule>
    <cfRule type="colorScale" priority="5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04:AL116">
    <cfRule type="colorScale" priority="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04:AM144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max"/>
        <color rgb="FFFFEF9C"/>
        <color rgb="FF63BE7B"/>
      </colorScale>
    </cfRule>
    <cfRule type="colorScale" priority="580">
      <colorScale>
        <cfvo type="min"/>
        <cfvo type="max"/>
        <color theme="5" tint="0.79998168889431442"/>
        <color theme="9" tint="0.79998168889431442"/>
      </colorScale>
    </cfRule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04:AM116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04:BH144"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max"/>
        <color rgb="FFFFEF9C"/>
        <color rgb="FF63BE7B"/>
      </colorScale>
    </cfRule>
    <cfRule type="colorScale" priority="575">
      <colorScale>
        <cfvo type="min"/>
        <cfvo type="max"/>
        <color theme="5" tint="0.79998168889431442"/>
        <color theme="9" tint="0.79998168889431442"/>
      </colorScale>
    </cfRule>
    <cfRule type="colorScale" priority="5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04:BH116"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04:BI144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max"/>
        <color rgb="FFFFEF9C"/>
        <color rgb="FF63BE7B"/>
      </colorScale>
    </cfRule>
    <cfRule type="colorScale" priority="570">
      <colorScale>
        <cfvo type="min"/>
        <cfvo type="max"/>
        <color theme="5" tint="0.79998168889431442"/>
        <color theme="9" tint="0.79998168889431442"/>
      </colorScale>
    </cfRule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04:BI116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04:CA144"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3">
      <colorScale>
        <cfvo type="min"/>
        <cfvo type="max"/>
        <color rgb="FFFFEF9C"/>
        <color rgb="FF63BE7B"/>
      </colorScale>
    </cfRule>
    <cfRule type="colorScale" priority="565">
      <colorScale>
        <cfvo type="min"/>
        <cfvo type="max"/>
        <color theme="5" tint="0.79998168889431442"/>
        <color theme="9" tint="0.79998168889431442"/>
      </colorScale>
    </cfRule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04:CA116">
    <cfRule type="colorScale" priority="5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104:CB144"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8">
      <colorScale>
        <cfvo type="min"/>
        <cfvo type="max"/>
        <color rgb="FFFFEF9C"/>
        <color rgb="FF63BE7B"/>
      </colorScale>
    </cfRule>
    <cfRule type="colorScale" priority="560">
      <colorScale>
        <cfvo type="min"/>
        <cfvo type="max"/>
        <color theme="5" tint="0.79998168889431442"/>
        <color theme="9" tint="0.79998168889431442"/>
      </colorScale>
    </cfRule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104:CB116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104:CH144"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max"/>
        <color rgb="FFFFEF9C"/>
        <color rgb="FF63BE7B"/>
      </colorScale>
    </cfRule>
    <cfRule type="colorScale" priority="555">
      <colorScale>
        <cfvo type="min"/>
        <cfvo type="max"/>
        <color theme="5" tint="0.79998168889431442"/>
        <color theme="9" tint="0.79998168889431442"/>
      </colorScale>
    </cfRule>
    <cfRule type="colorScale" priority="5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104:CH116"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04:CI144"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max"/>
        <color rgb="FFFFEF9C"/>
        <color rgb="FF63BE7B"/>
      </colorScale>
    </cfRule>
    <cfRule type="colorScale" priority="550">
      <colorScale>
        <cfvo type="min"/>
        <cfvo type="max"/>
        <color theme="5" tint="0.79998168889431442"/>
        <color theme="9" tint="0.79998168889431442"/>
      </colorScale>
    </cfRule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04:CI116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153:AW193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53:AX193"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3:AA193"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2">
      <colorScale>
        <cfvo type="min"/>
        <cfvo type="max"/>
        <color rgb="FFFFEF9C"/>
        <color rgb="FF63BE7B"/>
      </colorScale>
    </cfRule>
    <cfRule type="colorScale" priority="504">
      <colorScale>
        <cfvo type="min"/>
        <cfvo type="max"/>
        <color theme="5" tint="0.79998168889431442"/>
        <color theme="9" tint="0.79998168889431442"/>
      </colorScale>
    </cfRule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53:AA165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3:AB193"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7">
      <colorScale>
        <cfvo type="min"/>
        <cfvo type="max"/>
        <color rgb="FFFFEF9C"/>
        <color rgb="FF63BE7B"/>
      </colorScale>
    </cfRule>
    <cfRule type="colorScale" priority="499">
      <colorScale>
        <cfvo type="min"/>
        <cfvo type="max"/>
        <color theme="5" tint="0.79998168889431442"/>
        <color theme="9" tint="0.79998168889431442"/>
      </colorScale>
    </cfRule>
    <cfRule type="colorScale" priority="5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53:AB165">
    <cfRule type="colorScale" priority="4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3:AL193"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max"/>
        <color rgb="FFFFEF9C"/>
        <color rgb="FF63BE7B"/>
      </colorScale>
    </cfRule>
    <cfRule type="colorScale" priority="494">
      <colorScale>
        <cfvo type="min"/>
        <cfvo type="max"/>
        <color theme="5" tint="0.79998168889431442"/>
        <color theme="9" tint="0.79998168889431442"/>
      </colorScale>
    </cfRule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153:AL165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3:AM193"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max"/>
        <color rgb="FFFFEF9C"/>
        <color rgb="FF63BE7B"/>
      </colorScale>
    </cfRule>
    <cfRule type="colorScale" priority="489">
      <colorScale>
        <cfvo type="min"/>
        <cfvo type="max"/>
        <color theme="5" tint="0.79998168889431442"/>
        <color theme="9" tint="0.79998168889431442"/>
      </colorScale>
    </cfRule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153:AM165">
    <cfRule type="colorScale" priority="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53:BH193"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max"/>
        <color rgb="FFFFEF9C"/>
        <color rgb="FF63BE7B"/>
      </colorScale>
    </cfRule>
    <cfRule type="colorScale" priority="484">
      <colorScale>
        <cfvo type="min"/>
        <cfvo type="max"/>
        <color theme="5" tint="0.79998168889431442"/>
        <color theme="9" tint="0.79998168889431442"/>
      </colorScale>
    </cfRule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53:BH165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53:BI193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max"/>
        <color rgb="FFFFEF9C"/>
        <color rgb="FF63BE7B"/>
      </colorScale>
    </cfRule>
    <cfRule type="colorScale" priority="479">
      <colorScale>
        <cfvo type="min"/>
        <cfvo type="max"/>
        <color theme="5" tint="0.79998168889431442"/>
        <color theme="9" tint="0.79998168889431442"/>
      </colorScale>
    </cfRule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53:BI165"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53:CA193"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max"/>
        <color rgb="FFFFEF9C"/>
        <color rgb="FF63BE7B"/>
      </colorScale>
    </cfRule>
    <cfRule type="colorScale" priority="474">
      <colorScale>
        <cfvo type="min"/>
        <cfvo type="max"/>
        <color theme="5" tint="0.79998168889431442"/>
        <color theme="9" tint="0.79998168889431442"/>
      </colorScale>
    </cfRule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153:CA165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153:CB193"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max"/>
        <color rgb="FFFFEF9C"/>
        <color rgb="FF63BE7B"/>
      </colorScale>
    </cfRule>
    <cfRule type="colorScale" priority="469">
      <colorScale>
        <cfvo type="min"/>
        <cfvo type="max"/>
        <color theme="5" tint="0.79998168889431442"/>
        <color theme="9" tint="0.79998168889431442"/>
      </colorScale>
    </cfRule>
    <cfRule type="colorScale" priority="4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153:CB165"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153:CH193"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2">
      <colorScale>
        <cfvo type="min"/>
        <cfvo type="max"/>
        <color rgb="FFFFEF9C"/>
        <color rgb="FF63BE7B"/>
      </colorScale>
    </cfRule>
    <cfRule type="colorScale" priority="464">
      <colorScale>
        <cfvo type="min"/>
        <cfvo type="max"/>
        <color theme="5" tint="0.79998168889431442"/>
        <color theme="9" tint="0.79998168889431442"/>
      </colorScale>
    </cfRule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153:CH165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53:CI193"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max"/>
        <color rgb="FFFFEF9C"/>
        <color rgb="FF63BE7B"/>
      </colorScale>
    </cfRule>
    <cfRule type="colorScale" priority="459">
      <colorScale>
        <cfvo type="min"/>
        <cfvo type="max"/>
        <color theme="5" tint="0.79998168889431442"/>
        <color theme="9" tint="0.79998168889431442"/>
      </colorScale>
    </cfRule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153:CI165"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5:AW95">
    <cfRule type="colorScale" priority="3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55:AX95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5:AA95"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max"/>
        <color rgb="FFFFEF9C"/>
        <color rgb="FF63BE7B"/>
      </colorScale>
    </cfRule>
    <cfRule type="colorScale" priority="361">
      <colorScale>
        <cfvo type="min"/>
        <cfvo type="max"/>
        <color theme="5" tint="0.79998168889431442"/>
        <color theme="9" tint="0.79998168889431442"/>
      </colorScale>
    </cfRule>
    <cfRule type="colorScale" priority="3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5:AA67">
    <cfRule type="colorScale" priority="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5:AB95"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4">
      <colorScale>
        <cfvo type="min"/>
        <cfvo type="max"/>
        <color rgb="FFFFEF9C"/>
        <color rgb="FF63BE7B"/>
      </colorScale>
    </cfRule>
    <cfRule type="colorScale" priority="356">
      <colorScale>
        <cfvo type="min"/>
        <cfvo type="max"/>
        <color theme="5" tint="0.79998168889431442"/>
        <color theme="9" tint="0.79998168889431442"/>
      </colorScale>
    </cfRule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55:AB67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5:AL95"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max"/>
        <color rgb="FFFFEF9C"/>
        <color rgb="FF63BE7B"/>
      </colorScale>
    </cfRule>
    <cfRule type="colorScale" priority="351">
      <colorScale>
        <cfvo type="min"/>
        <cfvo type="max"/>
        <color theme="5" tint="0.79998168889431442"/>
        <color theme="9" tint="0.79998168889431442"/>
      </colorScale>
    </cfRule>
    <cfRule type="colorScale" priority="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55:AL67"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5:AM95"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max"/>
        <color rgb="FFFFEF9C"/>
        <color rgb="FF63BE7B"/>
      </colorScale>
    </cfRule>
    <cfRule type="colorScale" priority="346">
      <colorScale>
        <cfvo type="min"/>
        <cfvo type="max"/>
        <color theme="5" tint="0.79998168889431442"/>
        <color theme="9" tint="0.79998168889431442"/>
      </colorScale>
    </cfRule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5:AM67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55:BH95"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max"/>
        <color rgb="FFFFEF9C"/>
        <color rgb="FF63BE7B"/>
      </colorScale>
    </cfRule>
    <cfRule type="colorScale" priority="341">
      <colorScale>
        <cfvo type="min"/>
        <cfvo type="max"/>
        <color theme="5" tint="0.79998168889431442"/>
        <color theme="9" tint="0.79998168889431442"/>
      </colorScale>
    </cfRule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55:BH67"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55:BI95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max"/>
        <color rgb="FFFFEF9C"/>
        <color rgb="FF63BE7B"/>
      </colorScale>
    </cfRule>
    <cfRule type="colorScale" priority="336">
      <colorScale>
        <cfvo type="min"/>
        <cfvo type="max"/>
        <color theme="5" tint="0.79998168889431442"/>
        <color theme="9" tint="0.79998168889431442"/>
      </colorScale>
    </cfRule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55:BI67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5:CA95"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max"/>
        <color rgb="FFFFEF9C"/>
        <color rgb="FF63BE7B"/>
      </colorScale>
    </cfRule>
    <cfRule type="colorScale" priority="331">
      <colorScale>
        <cfvo type="min"/>
        <cfvo type="max"/>
        <color theme="5" tint="0.79998168889431442"/>
        <color theme="9" tint="0.79998168889431442"/>
      </colorScale>
    </cfRule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5:CA67">
    <cfRule type="colorScale" priority="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55:CB95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max"/>
        <color rgb="FFFFEF9C"/>
        <color rgb="FF63BE7B"/>
      </colorScale>
    </cfRule>
    <cfRule type="colorScale" priority="326">
      <colorScale>
        <cfvo type="min"/>
        <cfvo type="max"/>
        <color theme="5" tint="0.79998168889431442"/>
        <color theme="9" tint="0.79998168889431442"/>
      </colorScale>
    </cfRule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B55:CB67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55:CH95"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9">
      <colorScale>
        <cfvo type="min"/>
        <cfvo type="max"/>
        <color rgb="FFFFEF9C"/>
        <color rgb="FF63BE7B"/>
      </colorScale>
    </cfRule>
    <cfRule type="colorScale" priority="321">
      <colorScale>
        <cfvo type="min"/>
        <cfvo type="max"/>
        <color theme="5" tint="0.79998168889431442"/>
        <color theme="9" tint="0.79998168889431442"/>
      </colorScale>
    </cfRule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55:CH67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55:CI95"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4">
      <colorScale>
        <cfvo type="min"/>
        <cfvo type="max"/>
        <color rgb="FFFFEF9C"/>
        <color rgb="FF63BE7B"/>
      </colorScale>
    </cfRule>
    <cfRule type="colorScale" priority="316">
      <colorScale>
        <cfvo type="min"/>
        <cfvo type="max"/>
        <color theme="5" tint="0.79998168889431442"/>
        <color theme="9" tint="0.79998168889431442"/>
      </colorScale>
    </cfRule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55:CI67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3:D194 E194:N194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9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max"/>
        <color rgb="FFFFEF9C"/>
        <color rgb="FF63BE7B"/>
      </colorScale>
    </cfRule>
    <cfRule type="colorScale" priority="194">
      <colorScale>
        <cfvo type="min"/>
        <cfvo type="max"/>
        <color theme="5" tint="0.79998168889431442"/>
        <color theme="9" tint="0.79998168889431442"/>
      </colorScale>
    </cfRule>
  </conditionalFormatting>
  <conditionalFormatting sqref="E193"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max"/>
        <color rgb="FFFFEF9C"/>
        <color rgb="FF63BE7B"/>
      </colorScale>
    </cfRule>
    <cfRule type="colorScale" priority="190">
      <colorScale>
        <cfvo type="min"/>
        <cfvo type="max"/>
        <color theme="5" tint="0.79998168889431442"/>
        <color theme="9" tint="0.79998168889431442"/>
      </colorScale>
    </cfRule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3"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">
      <colorScale>
        <cfvo type="min"/>
        <cfvo type="max"/>
        <color rgb="FFFFEF9C"/>
        <color rgb="FF63BE7B"/>
      </colorScale>
    </cfRule>
    <cfRule type="colorScale" priority="186">
      <colorScale>
        <cfvo type="min"/>
        <cfvo type="max"/>
        <color theme="5" tint="0.79998168889431442"/>
        <color theme="9" tint="0.79998168889431442"/>
      </colorScale>
    </cfRule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3"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max"/>
        <color rgb="FFFFEF9C"/>
        <color rgb="FF63BE7B"/>
      </colorScale>
    </cfRule>
    <cfRule type="colorScale" priority="182">
      <colorScale>
        <cfvo type="min"/>
        <cfvo type="max"/>
        <color theme="5" tint="0.79998168889431442"/>
        <color theme="9" tint="0.79998168889431442"/>
      </colorScale>
    </cfRule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3"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max"/>
        <color rgb="FFFFEF9C"/>
        <color rgb="FF63BE7B"/>
      </colorScale>
    </cfRule>
    <cfRule type="colorScale" priority="178">
      <colorScale>
        <cfvo type="min"/>
        <cfvo type="max"/>
        <color theme="5" tint="0.79998168889431442"/>
        <color theme="9" tint="0.79998168889431442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3"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max"/>
        <color rgb="FFFFEF9C"/>
        <color rgb="FF63BE7B"/>
      </colorScale>
    </cfRule>
    <cfRule type="colorScale" priority="174">
      <colorScale>
        <cfvo type="min"/>
        <cfvo type="max"/>
        <color theme="5" tint="0.79998168889431442"/>
        <color theme="9" tint="0.79998168889431442"/>
      </colorScale>
    </cfRule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3:J193"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max"/>
        <color rgb="FFFFEF9C"/>
        <color rgb="FF63BE7B"/>
      </colorScale>
    </cfRule>
    <cfRule type="colorScale" priority="170">
      <colorScale>
        <cfvo type="min"/>
        <cfvo type="max"/>
        <color theme="5" tint="0.79998168889431442"/>
        <color theme="9" tint="0.79998168889431442"/>
      </colorScale>
    </cfRule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53:J165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3:N193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max"/>
        <color rgb="FFFFEF9C"/>
        <color rgb="FF63BE7B"/>
      </colorScale>
    </cfRule>
    <cfRule type="colorScale" priority="165">
      <colorScale>
        <cfvo type="min"/>
        <cfvo type="max"/>
        <color theme="5" tint="0.79998168889431442"/>
        <color theme="9" tint="0.79998168889431442"/>
      </colorScale>
    </cfRule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3:N165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3:O19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max"/>
        <color rgb="FFFFEF9C"/>
        <color rgb="FF63BE7B"/>
      </colorScale>
    </cfRule>
    <cfRule type="colorScale" priority="160">
      <colorScale>
        <cfvo type="min"/>
        <cfvo type="max"/>
        <color theme="5" tint="0.79998168889431442"/>
        <color theme="9" tint="0.79998168889431442"/>
      </colorScale>
    </cfRule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3:O165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:D47 E47:N47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6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max"/>
        <color rgb="FFFFEF9C"/>
        <color rgb="FF63BE7B"/>
      </colorScale>
    </cfRule>
    <cfRule type="colorScale" priority="116">
      <colorScale>
        <cfvo type="min"/>
        <cfvo type="max"/>
        <color theme="5" tint="0.79998168889431442"/>
        <color theme="9" tint="0.79998168889431442"/>
      </colorScale>
    </cfRule>
  </conditionalFormatting>
  <conditionalFormatting sqref="E46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max"/>
        <color rgb="FFFFEF9C"/>
        <color rgb="FF63BE7B"/>
      </colorScale>
    </cfRule>
    <cfRule type="colorScale" priority="112">
      <colorScale>
        <cfvo type="min"/>
        <cfvo type="max"/>
        <color theme="5" tint="0.79998168889431442"/>
        <color theme="9" tint="0.79998168889431442"/>
      </colorScale>
    </cfRule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6"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max"/>
        <color rgb="FFFFEF9C"/>
        <color rgb="FF63BE7B"/>
      </colorScale>
    </cfRule>
    <cfRule type="colorScale" priority="108">
      <colorScale>
        <cfvo type="min"/>
        <cfvo type="max"/>
        <color theme="5" tint="0.79998168889431442"/>
        <color theme="9" tint="0.79998168889431442"/>
      </colorScale>
    </cfRule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6"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">
      <colorScale>
        <cfvo type="min"/>
        <cfvo type="max"/>
        <color rgb="FFFFEF9C"/>
        <color rgb="FF63BE7B"/>
      </colorScale>
    </cfRule>
    <cfRule type="colorScale" priority="104">
      <colorScale>
        <cfvo type="min"/>
        <cfvo type="max"/>
        <color theme="5" tint="0.79998168889431442"/>
        <color theme="9" tint="0.79998168889431442"/>
      </colorScale>
    </cfRule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6"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max"/>
        <color rgb="FFFFEF9C"/>
        <color rgb="FF63BE7B"/>
      </colorScale>
    </cfRule>
    <cfRule type="colorScale" priority="100">
      <colorScale>
        <cfvo type="min"/>
        <cfvo type="max"/>
        <color theme="5" tint="0.79998168889431442"/>
        <color theme="9" tint="0.79998168889431442"/>
      </colorScale>
    </cfRule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6"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max"/>
        <color rgb="FFFFEF9C"/>
        <color rgb="FF63BE7B"/>
      </colorScale>
    </cfRule>
    <cfRule type="colorScale" priority="96">
      <colorScale>
        <cfvo type="min"/>
        <cfvo type="max"/>
        <color theme="5" tint="0.79998168889431442"/>
        <color theme="9" tint="0.79998168889431442"/>
      </colorScale>
    </cfRule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46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max"/>
        <color rgb="FFFFEF9C"/>
        <color rgb="FF63BE7B"/>
      </colorScale>
    </cfRule>
    <cfRule type="colorScale" priority="92">
      <colorScale>
        <cfvo type="min"/>
        <cfvo type="max"/>
        <color theme="5" tint="0.79998168889431442"/>
        <color theme="9" tint="0.79998168889431442"/>
      </colorScale>
    </cfRule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18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46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max"/>
        <color rgb="FFFFEF9C"/>
        <color rgb="FF63BE7B"/>
      </colorScale>
    </cfRule>
    <cfRule type="colorScale" priority="87">
      <colorScale>
        <cfvo type="min"/>
        <cfvo type="max"/>
        <color theme="5" tint="0.79998168889431442"/>
        <color theme="9" tint="0.79998168889431442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18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46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max"/>
        <color rgb="FFFFEF9C"/>
        <color rgb="FF63BE7B"/>
      </colorScale>
    </cfRule>
    <cfRule type="colorScale" priority="82">
      <colorScale>
        <cfvo type="min"/>
        <cfvo type="max"/>
        <color theme="5" tint="0.79998168889431442"/>
        <color theme="9" tint="0.79998168889431442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1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:D96 E96:N96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5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max"/>
        <color rgb="FFFFEF9C"/>
        <color rgb="FF63BE7B"/>
      </colorScale>
    </cfRule>
    <cfRule type="colorScale" priority="77">
      <colorScale>
        <cfvo type="min"/>
        <cfvo type="max"/>
        <color theme="5" tint="0.79998168889431442"/>
        <color theme="9" tint="0.79998168889431442"/>
      </colorScale>
    </cfRule>
  </conditionalFormatting>
  <conditionalFormatting sqref="E95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">
      <colorScale>
        <cfvo type="min"/>
        <cfvo type="max"/>
        <color rgb="FFFFEF9C"/>
        <color rgb="FF63BE7B"/>
      </colorScale>
    </cfRule>
    <cfRule type="colorScale" priority="73">
      <colorScale>
        <cfvo type="min"/>
        <cfvo type="max"/>
        <color theme="5" tint="0.79998168889431442"/>
        <color theme="9" tint="0.79998168889431442"/>
      </colorScale>
    </cfRule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95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max"/>
        <color rgb="FFFFEF9C"/>
        <color rgb="FF63BE7B"/>
      </colorScale>
    </cfRule>
    <cfRule type="colorScale" priority="69">
      <colorScale>
        <cfvo type="min"/>
        <cfvo type="max"/>
        <color theme="5" tint="0.79998168889431442"/>
        <color theme="9" tint="0.79998168889431442"/>
      </colorScale>
    </cfRule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5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max"/>
        <color rgb="FFFFEF9C"/>
        <color rgb="FF63BE7B"/>
      </colorScale>
    </cfRule>
    <cfRule type="colorScale" priority="65">
      <colorScale>
        <cfvo type="min"/>
        <cfvo type="max"/>
        <color theme="5" tint="0.79998168889431442"/>
        <color theme="9" tint="0.79998168889431442"/>
      </colorScale>
    </cfRule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5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max"/>
        <color rgb="FFFFEF9C"/>
        <color rgb="FF63BE7B"/>
      </colorScale>
    </cfRule>
    <cfRule type="colorScale" priority="61">
      <colorScale>
        <cfvo type="min"/>
        <cfvo type="max"/>
        <color theme="5" tint="0.79998168889431442"/>
        <color theme="9" tint="0.79998168889431442"/>
      </colorScale>
    </cfRule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5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max"/>
        <color rgb="FFFFEF9C"/>
        <color rgb="FF63BE7B"/>
      </colorScale>
    </cfRule>
    <cfRule type="colorScale" priority="57">
      <colorScale>
        <cfvo type="min"/>
        <cfvo type="max"/>
        <color theme="5" tint="0.79998168889431442"/>
        <color theme="9" tint="0.79998168889431442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5:J95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">
      <colorScale>
        <cfvo type="min"/>
        <cfvo type="max"/>
        <color rgb="FFFFEF9C"/>
        <color rgb="FF63BE7B"/>
      </colorScale>
    </cfRule>
    <cfRule type="colorScale" priority="53">
      <colorScale>
        <cfvo type="min"/>
        <cfvo type="max"/>
        <color theme="5" tint="0.79998168889431442"/>
        <color theme="9" tint="0.79998168889431442"/>
      </colorScale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5:J6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5:N95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max"/>
        <color rgb="FFFFEF9C"/>
        <color rgb="FF63BE7B"/>
      </colorScale>
    </cfRule>
    <cfRule type="colorScale" priority="48">
      <colorScale>
        <cfvo type="min"/>
        <cfvo type="max"/>
        <color theme="5" tint="0.79998168889431442"/>
        <color theme="9" tint="0.79998168889431442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55:N6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5:O95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max"/>
        <color rgb="FFFFEF9C"/>
        <color rgb="FF63BE7B"/>
      </colorScale>
    </cfRule>
    <cfRule type="colorScale" priority="43">
      <colorScale>
        <cfvo type="min"/>
        <cfvo type="max"/>
        <color theme="5" tint="0.79998168889431442"/>
        <color theme="9" tint="0.79998168889431442"/>
      </colorScale>
    </cfRule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5:O6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4:D145 E145:N14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4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">
      <colorScale>
        <cfvo type="min"/>
        <cfvo type="max"/>
        <color rgb="FFFFEF9C"/>
        <color rgb="FF63BE7B"/>
      </colorScale>
    </cfRule>
    <cfRule type="colorScale" priority="38">
      <colorScale>
        <cfvo type="min"/>
        <cfvo type="max"/>
        <color theme="5" tint="0.79998168889431442"/>
        <color theme="9" tint="0.79998168889431442"/>
      </colorScale>
    </cfRule>
  </conditionalFormatting>
  <conditionalFormatting sqref="E144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max"/>
        <color rgb="FFFFEF9C"/>
        <color rgb="FF63BE7B"/>
      </colorScale>
    </cfRule>
    <cfRule type="colorScale" priority="34">
      <colorScale>
        <cfvo type="min"/>
        <cfvo type="max"/>
        <color theme="5" tint="0.79998168889431442"/>
        <color theme="9" tint="0.79998168889431442"/>
      </colorScale>
    </cfRule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4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">
      <colorScale>
        <cfvo type="min"/>
        <cfvo type="max"/>
        <color rgb="FFFFEF9C"/>
        <color rgb="FF63BE7B"/>
      </colorScale>
    </cfRule>
    <cfRule type="colorScale" priority="30">
      <colorScale>
        <cfvo type="min"/>
        <cfvo type="max"/>
        <color theme="5" tint="0.79998168889431442"/>
        <color theme="9" tint="0.79998168889431442"/>
      </colorScale>
    </cfRule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44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">
      <colorScale>
        <cfvo type="min"/>
        <cfvo type="max"/>
        <color rgb="FFFFEF9C"/>
        <color rgb="FF63BE7B"/>
      </colorScale>
    </cfRule>
    <cfRule type="colorScale" priority="26">
      <colorScale>
        <cfvo type="min"/>
        <cfvo type="max"/>
        <color theme="5" tint="0.79998168889431442"/>
        <color theme="9" tint="0.79998168889431442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4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">
      <colorScale>
        <cfvo type="min"/>
        <cfvo type="max"/>
        <color rgb="FFFFEF9C"/>
        <color rgb="FF63BE7B"/>
      </colorScale>
    </cfRule>
    <cfRule type="colorScale" priority="22">
      <colorScale>
        <cfvo type="min"/>
        <cfvo type="max"/>
        <color theme="5" tint="0.79998168889431442"/>
        <color theme="9" tint="0.79998168889431442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4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">
      <colorScale>
        <cfvo type="min"/>
        <cfvo type="max"/>
        <color rgb="FFFFEF9C"/>
        <color rgb="FF63BE7B"/>
      </colorScale>
    </cfRule>
    <cfRule type="colorScale" priority="18">
      <colorScale>
        <cfvo type="min"/>
        <cfvo type="max"/>
        <color theme="5" tint="0.79998168889431442"/>
        <color theme="9" tint="0.79998168889431442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4:J14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max"/>
        <color theme="5" tint="0.79998168889431442"/>
        <color theme="9" tint="0.79998168889431442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4:J1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4:N14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theme="5" tint="0.79998168889431442"/>
        <color theme="9" tint="0.79998168889431442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4:N11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4:O14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max"/>
        <color theme="5" tint="0.79998168889431442"/>
        <color theme="9" tint="0.79998168889431442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4:O1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7559055118110237" right="0.15748031496062992" top="0.19685039370078741" bottom="0.15748031496062992" header="1.1023622047244095" footer="0.31496062992125984"/>
  <pageSetup paperSize="9" scale="74" orientation="portrait" horizontalDpi="0" verticalDpi="0" r:id="rId1"/>
  <rowBreaks count="6" manualBreakCount="6">
    <brk id="49" min="1" max="86" man="1"/>
    <brk id="98" min="1" max="86" man="1"/>
    <brk id="147" min="1" max="86" man="1"/>
    <brk id="196" min="1" max="84" man="1"/>
    <brk id="217" max="16383" man="1"/>
    <brk id="260" max="16383" man="1"/>
  </rowBreaks>
  <colBreaks count="6" manualBreakCount="6">
    <brk id="17" max="1048575" man="1"/>
    <brk id="28" max="1048575" man="1"/>
    <brk id="39" max="1048575" man="1"/>
    <brk id="50" max="1048575" man="1"/>
    <brk id="61" max="1048575" man="1"/>
    <brk id="8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B229-9508-4BF4-BC41-7DB12FE55ECB}">
  <sheetPr codeName="Worksheet____3"/>
  <dimension ref="A2:Q9"/>
  <sheetViews>
    <sheetView view="pageBreakPreview" topLeftCell="B1" zoomScale="160" zoomScaleNormal="190" zoomScaleSheetLayoutView="160" workbookViewId="0">
      <selection activeCell="D7" sqref="D7"/>
    </sheetView>
  </sheetViews>
  <sheetFormatPr defaultRowHeight="14.25"/>
  <cols>
    <col min="1" max="1" width="6.25" customWidth="1"/>
    <col min="3" max="3" width="10.25" customWidth="1"/>
    <col min="4" max="10" width="8.375" customWidth="1"/>
  </cols>
  <sheetData>
    <row r="2" spans="1:17">
      <c r="A2" s="3" t="s">
        <v>1</v>
      </c>
      <c r="B2" s="3"/>
      <c r="C2" s="3"/>
      <c r="D2" s="3" t="s">
        <v>48</v>
      </c>
      <c r="E2" s="3"/>
      <c r="F2" s="3"/>
      <c r="G2" s="3" t="s">
        <v>15</v>
      </c>
      <c r="H2" s="3" t="s">
        <v>41</v>
      </c>
      <c r="I2" s="3"/>
      <c r="J2" s="3"/>
      <c r="K2" s="3"/>
    </row>
    <row r="4" spans="1:17" ht="15">
      <c r="A4" s="79" t="s">
        <v>9</v>
      </c>
      <c r="B4" s="79" t="s">
        <v>2</v>
      </c>
      <c r="C4" s="7"/>
      <c r="D4" s="79" t="s">
        <v>3</v>
      </c>
      <c r="E4" s="79"/>
      <c r="F4" s="79"/>
      <c r="G4" s="79"/>
      <c r="H4" s="79"/>
      <c r="I4" s="79"/>
      <c r="J4" s="79"/>
      <c r="K4" s="76" t="s">
        <v>13</v>
      </c>
    </row>
    <row r="5" spans="1:17" ht="15">
      <c r="A5" s="79"/>
      <c r="B5" s="79"/>
      <c r="C5" s="7" t="s">
        <v>16</v>
      </c>
      <c r="D5" s="7" t="s">
        <v>5</v>
      </c>
      <c r="E5" s="7" t="s">
        <v>6</v>
      </c>
      <c r="F5" s="7" t="s">
        <v>4</v>
      </c>
      <c r="G5" s="7" t="s">
        <v>7</v>
      </c>
      <c r="H5" s="7" t="s">
        <v>4</v>
      </c>
      <c r="I5" s="7" t="s">
        <v>8</v>
      </c>
      <c r="J5" s="8" t="s">
        <v>4</v>
      </c>
      <c r="K5" s="76"/>
      <c r="M5" t="s">
        <v>0</v>
      </c>
      <c r="N5" s="7" t="s">
        <v>5</v>
      </c>
      <c r="O5" s="7" t="s">
        <v>6</v>
      </c>
      <c r="P5" s="7" t="s">
        <v>7</v>
      </c>
      <c r="Q5" s="7" t="s">
        <v>8</v>
      </c>
    </row>
    <row r="6" spans="1:17" ht="15">
      <c r="A6" s="4">
        <v>1</v>
      </c>
      <c r="B6" s="4" t="str">
        <f>list!A199</f>
        <v/>
      </c>
      <c r="C6" s="11" t="str">
        <f>list!B199</f>
        <v/>
      </c>
      <c r="D6" s="52" t="str">
        <f>list!C199</f>
        <v/>
      </c>
      <c r="E6" s="52" t="str">
        <f>list!D199</f>
        <v/>
      </c>
      <c r="F6" s="6" t="str">
        <f>list!E199</f>
        <v/>
      </c>
      <c r="G6" s="52" t="str">
        <f>list!F199</f>
        <v/>
      </c>
      <c r="H6" s="6" t="str">
        <f>list!G199</f>
        <v/>
      </c>
      <c r="I6" s="52" t="str">
        <f>list!H199</f>
        <v/>
      </c>
      <c r="J6" s="6" t="str">
        <f>list!I199</f>
        <v/>
      </c>
      <c r="K6" s="6" t="e">
        <f>list!J199</f>
        <v>#VALUE!</v>
      </c>
      <c r="M6" t="s">
        <v>12</v>
      </c>
      <c r="N6" s="10" t="e">
        <f>D7</f>
        <v>#DIV/0!</v>
      </c>
      <c r="O6" s="10" t="e">
        <f>E7</f>
        <v>#DIV/0!</v>
      </c>
      <c r="P6" s="10" t="e">
        <f>G7</f>
        <v>#DIV/0!</v>
      </c>
      <c r="Q6" s="10" t="e">
        <f>I7</f>
        <v>#DIV/0!</v>
      </c>
    </row>
    <row r="7" spans="1:17" ht="15">
      <c r="A7" s="77" t="s">
        <v>14</v>
      </c>
      <c r="B7" s="78"/>
      <c r="C7" s="9"/>
      <c r="D7" s="10" t="e">
        <f>AVERAGE(D6:D6)</f>
        <v>#DIV/0!</v>
      </c>
      <c r="E7" s="10" t="e">
        <f>AVERAGE(E6:E6)</f>
        <v>#DIV/0!</v>
      </c>
      <c r="F7" s="10" t="e">
        <f t="shared" ref="F7" si="0">E7-D7</f>
        <v>#DIV/0!</v>
      </c>
      <c r="G7" s="10" t="e">
        <f>AVERAGE(G6:G6)</f>
        <v>#DIV/0!</v>
      </c>
      <c r="H7" s="10" t="e">
        <f t="shared" ref="H7" si="1">G7-E7</f>
        <v>#DIV/0!</v>
      </c>
      <c r="I7" s="10" t="e">
        <f>AVERAGE(I6:I6)</f>
        <v>#DIV/0!</v>
      </c>
      <c r="J7" s="10" t="e">
        <f t="shared" ref="J7" si="2">I7-G7</f>
        <v>#DIV/0!</v>
      </c>
      <c r="K7" s="10" t="e">
        <f t="shared" ref="K7" si="3">I7-D7</f>
        <v>#DIV/0!</v>
      </c>
    </row>
    <row r="9" spans="1:17">
      <c r="A9" s="3" t="s">
        <v>1</v>
      </c>
      <c r="B9" s="3"/>
      <c r="C9" s="3"/>
      <c r="D9" s="3" t="str">
        <f>D2</f>
        <v>Qodirova Gulbahor</v>
      </c>
      <c r="E9" s="3"/>
      <c r="F9" s="3"/>
      <c r="G9" s="3" t="s">
        <v>15</v>
      </c>
      <c r="H9" s="3" t="str">
        <f>H2</f>
        <v>2025-2026</v>
      </c>
      <c r="I9" s="3"/>
      <c r="J9" s="3"/>
      <c r="K9" s="3"/>
    </row>
  </sheetData>
  <mergeCells count="5">
    <mergeCell ref="K4:K5"/>
    <mergeCell ref="A7:B7"/>
    <mergeCell ref="B4:B5"/>
    <mergeCell ref="A4:A5"/>
    <mergeCell ref="D4:J4"/>
  </mergeCells>
  <conditionalFormatting sqref="H6">
    <cfRule type="iconSet" priority="195">
      <iconSet iconSet="3Arrows">
        <cfvo type="percent" val="0"/>
        <cfvo type="percent" val="33"/>
        <cfvo type="percent" val="67"/>
      </iconSet>
    </cfRule>
  </conditionalFormatting>
  <conditionalFormatting sqref="F6">
    <cfRule type="iconSet" priority="192">
      <iconSet iconSet="3Arrows">
        <cfvo type="percent" val="0"/>
        <cfvo type="percent" val="33"/>
        <cfvo type="percent" val="67"/>
      </iconSet>
    </cfRule>
  </conditionalFormatting>
  <conditionalFormatting sqref="J6:K6">
    <cfRule type="iconSet" priority="198">
      <iconSet iconSet="3Arrows">
        <cfvo type="percent" val="0"/>
        <cfvo type="percent" val="33"/>
        <cfvo type="percent" val="67"/>
      </iconSet>
    </cfRule>
  </conditionalFormatting>
  <conditionalFormatting sqref="F7">
    <cfRule type="iconSet" priority="55">
      <iconSet iconSet="3Arrows">
        <cfvo type="percent" val="0"/>
        <cfvo type="percent" val="33"/>
        <cfvo type="percent" val="67"/>
      </iconSet>
    </cfRule>
  </conditionalFormatting>
  <conditionalFormatting sqref="H7">
    <cfRule type="iconSet" priority="56">
      <iconSet iconSet="3Arrows">
        <cfvo type="percent" val="0"/>
        <cfvo type="percent" val="33"/>
        <cfvo type="percent" val="67"/>
      </iconSet>
    </cfRule>
  </conditionalFormatting>
  <conditionalFormatting sqref="J7">
    <cfRule type="iconSet" priority="57">
      <iconSet iconSet="3Arrows">
        <cfvo type="percent" val="0"/>
        <cfvo type="percent" val="33"/>
        <cfvo type="percent" val="67"/>
      </iconSet>
    </cfRule>
  </conditionalFormatting>
  <conditionalFormatting sqref="K7">
    <cfRule type="iconSet" priority="58">
      <iconSet iconSet="3Arrows">
        <cfvo type="percent" val="0"/>
        <cfvo type="percent" val="33"/>
        <cfvo type="percent" val="67"/>
      </iconSet>
    </cfRule>
  </conditionalFormatting>
  <pageMargins left="0.70866141732283472" right="0.70866141732283472" top="0.25" bottom="0.18" header="0.31496062992125984" footer="0.31496062992125984"/>
  <pageSetup paperSize="9" scale="127" orientation="landscape" horizontalDpi="0" verticalDpi="0" r:id="rId1"/>
  <rowBreaks count="1" manualBreakCount="1">
    <brk id="7" max="10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3" id="{C9807A77-07CD-4032-A909-B588BEACD63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194" id="{C3FB689E-908F-410B-9B27-2817268B817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H6</xm:sqref>
        </x14:conditionalFormatting>
        <x14:conditionalFormatting xmlns:xm="http://schemas.microsoft.com/office/excel/2006/main">
          <x14:cfRule type="iconSet" priority="190" id="{472A4409-0945-48DE-8EEA-484734A878F8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191" id="{CD125AFE-C7C8-49AA-82B8-579A5EF5311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F6</xm:sqref>
        </x14:conditionalFormatting>
        <x14:conditionalFormatting xmlns:xm="http://schemas.microsoft.com/office/excel/2006/main">
          <x14:cfRule type="iconSet" priority="196" id="{DF73EAA4-CD4D-47F5-B80B-BF51B5B5722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197" id="{5D15F200-BF89-46A4-AE96-BD7D8F0D529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J6:K6</xm:sqref>
        </x14:conditionalFormatting>
        <x14:conditionalFormatting xmlns:xm="http://schemas.microsoft.com/office/excel/2006/main">
          <x14:cfRule type="iconSet" priority="59" id="{A7E801BC-891C-4CCF-9369-16DFE3A1140A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60" id="{C4C01B4C-08E1-4AAB-A91C-B4BF10BF0D6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F7</xm:sqref>
        </x14:conditionalFormatting>
        <x14:conditionalFormatting xmlns:xm="http://schemas.microsoft.com/office/excel/2006/main">
          <x14:cfRule type="iconSet" priority="61" id="{A4EFB9F5-95B6-41AD-9B47-8A292522AB5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62" id="{0562AAB4-D6DA-429C-9690-AE77B1EF7E8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H7</xm:sqref>
        </x14:conditionalFormatting>
        <x14:conditionalFormatting xmlns:xm="http://schemas.microsoft.com/office/excel/2006/main">
          <x14:cfRule type="iconSet" priority="63" id="{454D46BC-E19C-4814-9077-08C822C22782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64" id="{CAD47535-012E-459D-925B-512EC233A9A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J7</xm:sqref>
        </x14:conditionalFormatting>
        <x14:conditionalFormatting xmlns:xm="http://schemas.microsoft.com/office/excel/2006/main">
          <x14:cfRule type="iconSet" priority="65" id="{B874B1F2-75EC-4D2D-9B27-2A9735051CDD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14:cfRule type="iconSet" priority="66" id="{78E4202F-3126-4727-AF16-8855B10B7B8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3Arrows" iconId="0"/>
              <x14:cfIcon iconSet="3Arrows" iconId="2"/>
            </x14:iconSet>
          </x14:cfRule>
          <xm:sqref>K7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list</vt:lpstr>
      <vt:lpstr>tahlil</vt:lpstr>
      <vt:lpstr>list!Область_печати</vt:lpstr>
      <vt:lpstr>tahlil!Область_печати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Ixtiyorjon Sobirjonov</dc:creator>
  <cp:lastModifiedBy>Ixtiyorjon Sobirjonov</cp:lastModifiedBy>
  <cp:lastPrinted>2026-06-02T09:07:27Z</cp:lastPrinted>
  <dcterms:created xsi:type="dcterms:W3CDTF">2025-05-16T07:18:30Z</dcterms:created>
  <dcterms:modified xsi:type="dcterms:W3CDTF">2026-06-02T14:49:14Z</dcterms:modified>
</cp:coreProperties>
</file>